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f18dd770a9046a7/Desktop/DSA/DSA/"/>
    </mc:Choice>
  </mc:AlternateContent>
  <xr:revisionPtr revIDLastSave="2" documentId="11_E1A7DDC91201E87C75DD9E61796AF32E6CDAC0C0" xr6:coauthVersionLast="47" xr6:coauthVersionMax="47" xr10:uidLastSave="{BF3F85C3-77D9-4E30-A63B-7E6304A98A9B}"/>
  <bookViews>
    <workbookView xWindow="-110" yWindow="-110" windowWidth="19420" windowHeight="10300" tabRatio="500" activeTab="1" xr2:uid="{00000000-000D-0000-FFFF-FFFF00000000}"/>
  </bookViews>
  <sheets>
    <sheet name="NeetCode 150" sheetId="1" r:id="rId1"/>
    <sheet name="Patterns (30 Topics)" sheetId="2" r:id="rId2"/>
    <sheet name="Summary" sheetId="3" r:id="rId3"/>
  </sheets>
  <definedNames>
    <definedName name="_xlnm._FilterDatabase" localSheetId="0" hidden="1">'NeetCode 150'!$A$1:$G$151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3" l="1"/>
  <c r="D21" i="3"/>
  <c r="C21" i="3"/>
  <c r="B21" i="3"/>
  <c r="E21" i="3" s="1"/>
  <c r="G21" i="3" s="1"/>
  <c r="F20" i="3"/>
  <c r="D20" i="3"/>
  <c r="C20" i="3"/>
  <c r="B20" i="3"/>
  <c r="E20" i="3" s="1"/>
  <c r="G20" i="3" s="1"/>
  <c r="F19" i="3"/>
  <c r="D19" i="3"/>
  <c r="C19" i="3"/>
  <c r="B19" i="3"/>
  <c r="E19" i="3" s="1"/>
  <c r="G19" i="3" s="1"/>
  <c r="F18" i="3"/>
  <c r="D18" i="3"/>
  <c r="C18" i="3"/>
  <c r="B18" i="3"/>
  <c r="E18" i="3" s="1"/>
  <c r="G18" i="3" s="1"/>
  <c r="F17" i="3"/>
  <c r="D17" i="3"/>
  <c r="C17" i="3"/>
  <c r="B17" i="3"/>
  <c r="E17" i="3" s="1"/>
  <c r="G17" i="3" s="1"/>
  <c r="F16" i="3"/>
  <c r="D16" i="3"/>
  <c r="C16" i="3"/>
  <c r="B16" i="3"/>
  <c r="E16" i="3" s="1"/>
  <c r="G16" i="3" s="1"/>
  <c r="F15" i="3"/>
  <c r="D15" i="3"/>
  <c r="C15" i="3"/>
  <c r="B15" i="3"/>
  <c r="E15" i="3" s="1"/>
  <c r="G15" i="3" s="1"/>
  <c r="F14" i="3"/>
  <c r="D14" i="3"/>
  <c r="C14" i="3"/>
  <c r="B14" i="3"/>
  <c r="E14" i="3" s="1"/>
  <c r="G14" i="3" s="1"/>
  <c r="F13" i="3"/>
  <c r="D13" i="3"/>
  <c r="C13" i="3"/>
  <c r="B13" i="3"/>
  <c r="E13" i="3" s="1"/>
  <c r="G13" i="3" s="1"/>
  <c r="F12" i="3"/>
  <c r="D12" i="3"/>
  <c r="C12" i="3"/>
  <c r="B12" i="3"/>
  <c r="E12" i="3" s="1"/>
  <c r="G12" i="3" s="1"/>
  <c r="F11" i="3"/>
  <c r="D11" i="3"/>
  <c r="C11" i="3"/>
  <c r="B11" i="3"/>
  <c r="E11" i="3" s="1"/>
  <c r="G11" i="3" s="1"/>
  <c r="F10" i="3"/>
  <c r="D10" i="3"/>
  <c r="C10" i="3"/>
  <c r="B10" i="3"/>
  <c r="E10" i="3" s="1"/>
  <c r="G10" i="3" s="1"/>
  <c r="F9" i="3"/>
  <c r="D9" i="3"/>
  <c r="C9" i="3"/>
  <c r="B9" i="3"/>
  <c r="E9" i="3" s="1"/>
  <c r="G9" i="3" s="1"/>
  <c r="F8" i="3"/>
  <c r="D8" i="3"/>
  <c r="C8" i="3"/>
  <c r="B8" i="3"/>
  <c r="E8" i="3" s="1"/>
  <c r="G8" i="3" s="1"/>
  <c r="F7" i="3"/>
  <c r="D7" i="3"/>
  <c r="C7" i="3"/>
  <c r="B7" i="3"/>
  <c r="E7" i="3" s="1"/>
  <c r="G7" i="3" s="1"/>
  <c r="F6" i="3"/>
  <c r="D6" i="3"/>
  <c r="C6" i="3"/>
  <c r="B6" i="3"/>
  <c r="E6" i="3" s="1"/>
  <c r="G6" i="3" s="1"/>
  <c r="F5" i="3"/>
  <c r="D5" i="3"/>
  <c r="C5" i="3"/>
  <c r="B5" i="3"/>
  <c r="E5" i="3" s="1"/>
  <c r="G5" i="3" s="1"/>
  <c r="F4" i="3"/>
  <c r="F22" i="3" s="1"/>
  <c r="D4" i="3"/>
  <c r="D22" i="3" s="1"/>
  <c r="C4" i="3"/>
  <c r="C22" i="3" s="1"/>
  <c r="B4" i="3"/>
  <c r="E4" i="3" s="1"/>
  <c r="G4" i="3" l="1"/>
  <c r="E22" i="3"/>
  <c r="G22" i="3" s="1"/>
  <c r="B22" i="3"/>
</calcChain>
</file>

<file path=xl/sharedStrings.xml><?xml version="1.0" encoding="utf-8"?>
<sst xmlns="http://schemas.openxmlformats.org/spreadsheetml/2006/main" count="1391" uniqueCount="569">
  <si>
    <t>#</t>
  </si>
  <si>
    <t>Topic</t>
  </si>
  <si>
    <t>Problem</t>
  </si>
  <si>
    <t>Difficulty</t>
  </si>
  <si>
    <t>LeetCode Link</t>
  </si>
  <si>
    <t>Status</t>
  </si>
  <si>
    <t>Notes</t>
  </si>
  <si>
    <t>Arrays &amp; Hashing</t>
  </si>
  <si>
    <t>Contains Duplicate</t>
  </si>
  <si>
    <t>Easy</t>
  </si>
  <si>
    <t>https://leetcode.com/problems/contains-duplicate/</t>
  </si>
  <si>
    <t>Valid Anagram</t>
  </si>
  <si>
    <t>https://leetcode.com/problems/valid-anagram/</t>
  </si>
  <si>
    <t>Two Sum</t>
  </si>
  <si>
    <t>https://leetcode.com/problems/two-sum/</t>
  </si>
  <si>
    <t>Group Anagrams</t>
  </si>
  <si>
    <t>Medium</t>
  </si>
  <si>
    <t>https://leetcode.com/problems/group-anagrams/</t>
  </si>
  <si>
    <t>Top K Frequent Elements</t>
  </si>
  <si>
    <t>https://leetcode.com/problems/top-k-frequent-elements/</t>
  </si>
  <si>
    <t>Encode and Decode Strings</t>
  </si>
  <si>
    <t>https://leetcode.com/problems/encode-and-decode-strings/</t>
  </si>
  <si>
    <t>Product of Array Except Self</t>
  </si>
  <si>
    <t>https://leetcode.com/problems/product-of-array-except-self/</t>
  </si>
  <si>
    <t>Valid Sudoku</t>
  </si>
  <si>
    <t>https://leetcode.com/problems/valid-sudoku/</t>
  </si>
  <si>
    <t>Longest Consecutive Sequence</t>
  </si>
  <si>
    <t>https://leetcode.com/problems/longest-consecutive-sequence/</t>
  </si>
  <si>
    <t>Two Pointers</t>
  </si>
  <si>
    <t>Valid Palindrome</t>
  </si>
  <si>
    <t>https://leetcode.com/problems/valid-palindrome/</t>
  </si>
  <si>
    <t>Two Sum II - Input Array Is Sorted</t>
  </si>
  <si>
    <t>https://leetcode.com/problems/two-sum-ii-input-array-is-sorted/</t>
  </si>
  <si>
    <t>3Sum</t>
  </si>
  <si>
    <t>https://leetcode.com/problems/3sum/</t>
  </si>
  <si>
    <t>Container With Most Water</t>
  </si>
  <si>
    <t>https://leetcode.com/problems/container-with-most-water/</t>
  </si>
  <si>
    <t>Trapping Rain Water</t>
  </si>
  <si>
    <t>Hard</t>
  </si>
  <si>
    <t>https://leetcode.com/problems/trapping-rain-water/</t>
  </si>
  <si>
    <t>Sliding Window</t>
  </si>
  <si>
    <t>Best Time to Buy and Sell Stock</t>
  </si>
  <si>
    <t>https://leetcode.com/problems/best-time-to-buy-and-sell-stock/</t>
  </si>
  <si>
    <t>Longest Substring Without Repeating Characters</t>
  </si>
  <si>
    <t>https://leetcode.com/problems/longest-substring-without-repeating-characters/</t>
  </si>
  <si>
    <t>Longest Repeating Character Replacement</t>
  </si>
  <si>
    <t>https://leetcode.com/problems/longest-repeating-character-replacement/</t>
  </si>
  <si>
    <t>Permutation in String</t>
  </si>
  <si>
    <t>https://leetcode.com/problems/permutation-in-string/</t>
  </si>
  <si>
    <t>Minimum Window Substring</t>
  </si>
  <si>
    <t>https://leetcode.com/problems/minimum-window-substring/</t>
  </si>
  <si>
    <t>Sliding Window Maximum</t>
  </si>
  <si>
    <t>https://leetcode.com/problems/sliding-window-maximum/</t>
  </si>
  <si>
    <t>Stack</t>
  </si>
  <si>
    <t>Valid Parentheses</t>
  </si>
  <si>
    <t>https://leetcode.com/problems/valid-parentheses/</t>
  </si>
  <si>
    <t>Min Stack</t>
  </si>
  <si>
    <t>https://leetcode.com/problems/min-stack/</t>
  </si>
  <si>
    <t>Evaluate Reverse Polish Notation</t>
  </si>
  <si>
    <t>https://leetcode.com/problems/evaluate-reverse-polish-notation/</t>
  </si>
  <si>
    <t>Generate Parentheses</t>
  </si>
  <si>
    <t>https://leetcode.com/problems/generate-parentheses/</t>
  </si>
  <si>
    <t>Daily Temperatures</t>
  </si>
  <si>
    <t>https://leetcode.com/problems/daily-temperatures/</t>
  </si>
  <si>
    <t>Car Fleet</t>
  </si>
  <si>
    <t>https://leetcode.com/problems/car-fleet/</t>
  </si>
  <si>
    <t>Largest Rectangle in Histogram</t>
  </si>
  <si>
    <t>https://leetcode.com/problems/largest-rectangle-in-histogram/</t>
  </si>
  <si>
    <t>Binary Search</t>
  </si>
  <si>
    <t>https://leetcode.com/problems/binary-search/</t>
  </si>
  <si>
    <t>Search a 2D Matrix</t>
  </si>
  <si>
    <t>https://leetcode.com/problems/search-a-2d-matrix/</t>
  </si>
  <si>
    <t>Koko Eating Bananas</t>
  </si>
  <si>
    <t>https://leetcode.com/problems/koko-eating-bananas/</t>
  </si>
  <si>
    <t>Find Minimum in Rotated Sorted Array</t>
  </si>
  <si>
    <t>https://leetcode.com/problems/find-minimum-in-rotated-sorted-array/</t>
  </si>
  <si>
    <t>Search in Rotated Sorted Array</t>
  </si>
  <si>
    <t>https://leetcode.com/problems/search-in-rotated-sorted-array/</t>
  </si>
  <si>
    <t>Time Based Key-Value Store</t>
  </si>
  <si>
    <t>https://leetcode.com/problems/time-based-key-value-store/</t>
  </si>
  <si>
    <t>Median of Two Sorted Arrays</t>
  </si>
  <si>
    <t>https://leetcode.com/problems/median-of-two-sorted-arrays/</t>
  </si>
  <si>
    <t>Linked List</t>
  </si>
  <si>
    <t>Reverse Linked List</t>
  </si>
  <si>
    <t>https://leetcode.com/problems/reverse-linked-list/</t>
  </si>
  <si>
    <t>Merge Two Sorted Lists</t>
  </si>
  <si>
    <t>https://leetcode.com/problems/merge-two-sorted-lists/</t>
  </si>
  <si>
    <t>Reorder List</t>
  </si>
  <si>
    <t>https://leetcode.com/problems/reorder-list/</t>
  </si>
  <si>
    <t>Remove Nth Node From End of List</t>
  </si>
  <si>
    <t>https://leetcode.com/problems/remove-nth-node-from-end-of-list/</t>
  </si>
  <si>
    <t>Copy List with Random Pointer</t>
  </si>
  <si>
    <t>https://leetcode.com/problems/copy-list-with-random-pointer/</t>
  </si>
  <si>
    <t>Add Two Numbers</t>
  </si>
  <si>
    <t>https://leetcode.com/problems/add-two-numbers/</t>
  </si>
  <si>
    <t>Linked List Cycle</t>
  </si>
  <si>
    <t>https://leetcode.com/problems/linked-list-cycle/</t>
  </si>
  <si>
    <t>Find the Duplicate Number</t>
  </si>
  <si>
    <t>https://leetcode.com/problems/find-the-duplicate-number/</t>
  </si>
  <si>
    <t>LRU Cache</t>
  </si>
  <si>
    <t>https://leetcode.com/problems/lru-cache/</t>
  </si>
  <si>
    <t>Merge k Sorted Lists</t>
  </si>
  <si>
    <t>https://leetcode.com/problems/merge-k-sorted-lists/</t>
  </si>
  <si>
    <t>Reverse Nodes in k-Group</t>
  </si>
  <si>
    <t>https://leetcode.com/problems/reverse-nodes-in-k-group/</t>
  </si>
  <si>
    <t>Trees</t>
  </si>
  <si>
    <t>Invert Binary Tree</t>
  </si>
  <si>
    <t>https://leetcode.com/problems/invert-binary-tree/</t>
  </si>
  <si>
    <t>Maximum Depth of Binary Tree</t>
  </si>
  <si>
    <t>https://leetcode.com/problems/maximum-depth-of-binary-tree/</t>
  </si>
  <si>
    <t>Diameter of Binary Tree</t>
  </si>
  <si>
    <t>https://leetcode.com/problems/diameter-of-binary-tree/</t>
  </si>
  <si>
    <t>Balanced Binary Tree</t>
  </si>
  <si>
    <t>https://leetcode.com/problems/balanced-binary-tree/</t>
  </si>
  <si>
    <t>Same Tree</t>
  </si>
  <si>
    <t>https://leetcode.com/problems/same-tree/</t>
  </si>
  <si>
    <t>Subtree of Another Tree</t>
  </si>
  <si>
    <t>https://leetcode.com/problems/subtree-of-another-tree/</t>
  </si>
  <si>
    <t>Lowest Common Ancestor of a BST</t>
  </si>
  <si>
    <t>https://leetcode.com/problems/lowest-common-ancestor-of-a-binary-search-tree/</t>
  </si>
  <si>
    <t>Binary Tree Level Order Traversal</t>
  </si>
  <si>
    <t>https://leetcode.com/problems/binary-tree-level-order-traversal/</t>
  </si>
  <si>
    <t>Binary Tree Right Side View</t>
  </si>
  <si>
    <t>https://leetcode.com/problems/binary-tree-right-side-view/</t>
  </si>
  <si>
    <t>Count Good Nodes in Binary Tree</t>
  </si>
  <si>
    <t>https://leetcode.com/problems/count-good-nodes-in-binary-tree/</t>
  </si>
  <si>
    <t>Validate Binary Search Tree</t>
  </si>
  <si>
    <t>https://leetcode.com/problems/validate-binary-search-tree/</t>
  </si>
  <si>
    <t>Kth Smallest Element in a BST</t>
  </si>
  <si>
    <t>https://leetcode.com/problems/kth-smallest-element-in-a-bst/</t>
  </si>
  <si>
    <t>Construct Binary Tree from Preorder and Inorder Traversal</t>
  </si>
  <si>
    <t>https://leetcode.com/problems/construct-binary-tree-from-preorder-and-inorder-traversal/</t>
  </si>
  <si>
    <t>Binary Tree Maximum Path Sum</t>
  </si>
  <si>
    <t>https://leetcode.com/problems/binary-tree-maximum-path-sum/</t>
  </si>
  <si>
    <t>Serialize and Deserialize Binary Tree</t>
  </si>
  <si>
    <t>https://leetcode.com/problems/serialize-and-deserialize-binary-tree/</t>
  </si>
  <si>
    <t>Tries</t>
  </si>
  <si>
    <t>Implement Trie (Prefix Tree)</t>
  </si>
  <si>
    <t>https://leetcode.com/problems/implement-trie-prefix-tree/</t>
  </si>
  <si>
    <t>Design Add and Search Words Data Structure</t>
  </si>
  <si>
    <t>https://leetcode.com/problems/design-add-and-search-words-data-structure/</t>
  </si>
  <si>
    <t>Word Search II</t>
  </si>
  <si>
    <t>https://leetcode.com/problems/word-search-ii/</t>
  </si>
  <si>
    <t>Heap / Priority Queue</t>
  </si>
  <si>
    <t>Kth Largest Element in a Stream</t>
  </si>
  <si>
    <t>https://leetcode.com/problems/kth-largest-element-in-a-stream/</t>
  </si>
  <si>
    <t>Last Stone Weight</t>
  </si>
  <si>
    <t>https://leetcode.com/problems/last-stone-weight/</t>
  </si>
  <si>
    <t>K Closest Points to Origin</t>
  </si>
  <si>
    <t>https://leetcode.com/problems/k-closest-points-to-origin/</t>
  </si>
  <si>
    <t>Kth Largest Element in an Array</t>
  </si>
  <si>
    <t>https://leetcode.com/problems/kth-largest-element-in-an-array/</t>
  </si>
  <si>
    <t>Task Scheduler</t>
  </si>
  <si>
    <t>https://leetcode.com/problems/task-scheduler/</t>
  </si>
  <si>
    <t>Design Twitter</t>
  </si>
  <si>
    <t>https://leetcode.com/problems/design-twitter/</t>
  </si>
  <si>
    <t>Find Median from Data Stream</t>
  </si>
  <si>
    <t>https://leetcode.com/problems/find-median-from-data-stream/</t>
  </si>
  <si>
    <t>Backtracking</t>
  </si>
  <si>
    <t>Subsets</t>
  </si>
  <si>
    <t>https://leetcode.com/problems/subsets/</t>
  </si>
  <si>
    <t>Combination Sum</t>
  </si>
  <si>
    <t>https://leetcode.com/problems/combination-sum/</t>
  </si>
  <si>
    <t>Permutations</t>
  </si>
  <si>
    <t>https://leetcode.com/problems/permutations/</t>
  </si>
  <si>
    <t>Subsets II</t>
  </si>
  <si>
    <t>https://leetcode.com/problems/subsets-ii/</t>
  </si>
  <si>
    <t>Combination Sum II</t>
  </si>
  <si>
    <t>https://leetcode.com/problems/combination-sum-ii/</t>
  </si>
  <si>
    <t>Word Search</t>
  </si>
  <si>
    <t>https://leetcode.com/problems/word-search/</t>
  </si>
  <si>
    <t>Palindrome Partitioning</t>
  </si>
  <si>
    <t>https://leetcode.com/problems/palindrome-partitioning/</t>
  </si>
  <si>
    <t>Letter Combinations of a Phone Number</t>
  </si>
  <si>
    <t>https://leetcode.com/problems/letter-combinations-of-a-phone-number/</t>
  </si>
  <si>
    <t>N-Queens</t>
  </si>
  <si>
    <t>https://leetcode.com/problems/n-queens/</t>
  </si>
  <si>
    <t>Graphs</t>
  </si>
  <si>
    <t>Number of Islands</t>
  </si>
  <si>
    <t>https://leetcode.com/problems/number-of-islands/</t>
  </si>
  <si>
    <t>Max Area of Island</t>
  </si>
  <si>
    <t>https://leetcode.com/problems/max-area-of-island/</t>
  </si>
  <si>
    <t>Clone Graph</t>
  </si>
  <si>
    <t>https://leetcode.com/problems/clone-graph/</t>
  </si>
  <si>
    <t>Walls and Gates</t>
  </si>
  <si>
    <t>https://leetcode.com/problems/walls-and-gates/</t>
  </si>
  <si>
    <t>Rotting Oranges</t>
  </si>
  <si>
    <t>https://leetcode.com/problems/rotting-oranges/</t>
  </si>
  <si>
    <t>Pacific Atlantic Water Flow</t>
  </si>
  <si>
    <t>https://leetcode.com/problems/pacific-atlantic-water-flow/</t>
  </si>
  <si>
    <t>Surrounded Regions</t>
  </si>
  <si>
    <t>https://leetcode.com/problems/surrounded-regions/</t>
  </si>
  <si>
    <t>Course Schedule</t>
  </si>
  <si>
    <t>https://leetcode.com/problems/course-schedule/</t>
  </si>
  <si>
    <t>Course Schedule II</t>
  </si>
  <si>
    <t>https://leetcode.com/problems/course-schedule-ii/</t>
  </si>
  <si>
    <t>Graph Valid Tree</t>
  </si>
  <si>
    <t>https://leetcode.com/problems/graph-valid-tree/</t>
  </si>
  <si>
    <t>Number of Connected Components in an Undirected Graph</t>
  </si>
  <si>
    <t>https://leetcode.com/problems/number-of-connected-components-in-an-undirected-graph/</t>
  </si>
  <si>
    <t>Redundant Connection</t>
  </si>
  <si>
    <t>https://leetcode.com/problems/redundant-connection/</t>
  </si>
  <si>
    <t>Word Ladder</t>
  </si>
  <si>
    <t>https://leetcode.com/problems/word-ladder/</t>
  </si>
  <si>
    <t>Advanced Graphs</t>
  </si>
  <si>
    <t>Reconstruct Itinerary</t>
  </si>
  <si>
    <t>https://leetcode.com/problems/reconstruct-itinerary/</t>
  </si>
  <si>
    <t>Min Cost to Connect All Points</t>
  </si>
  <si>
    <t>https://leetcode.com/problems/min-cost-to-connect-all-points/</t>
  </si>
  <si>
    <t>Network Delay Time</t>
  </si>
  <si>
    <t>https://leetcode.com/problems/network-delay-time/</t>
  </si>
  <si>
    <t>Swim in Rising Water</t>
  </si>
  <si>
    <t>https://leetcode.com/problems/swim-in-rising-water/</t>
  </si>
  <si>
    <t>Alien Dictionary</t>
  </si>
  <si>
    <t>https://leetcode.com/problems/alien-dictionary/</t>
  </si>
  <si>
    <t>Cheapest Flights Within K Stops</t>
  </si>
  <si>
    <t>https://leetcode.com/problems/cheapest-flights-within-k-stops/</t>
  </si>
  <si>
    <t>1-D Dynamic Programming</t>
  </si>
  <si>
    <t>Climbing Stairs</t>
  </si>
  <si>
    <t>https://leetcode.com/problems/climbing-stairs/</t>
  </si>
  <si>
    <t>Min Cost Climbing Stairs</t>
  </si>
  <si>
    <t>https://leetcode.com/problems/min-cost-climbing-stairs/</t>
  </si>
  <si>
    <t>House Robber</t>
  </si>
  <si>
    <t>https://leetcode.com/problems/house-robber/</t>
  </si>
  <si>
    <t>House Robber II</t>
  </si>
  <si>
    <t>https://leetcode.com/problems/house-robber-ii/</t>
  </si>
  <si>
    <t>Longest Palindromic Substring</t>
  </si>
  <si>
    <t>https://leetcode.com/problems/longest-palindromic-substring/</t>
  </si>
  <si>
    <t>Palindromic Substrings</t>
  </si>
  <si>
    <t>https://leetcode.com/problems/palindromic-substrings/</t>
  </si>
  <si>
    <t>Decode Ways</t>
  </si>
  <si>
    <t>https://leetcode.com/problems/decode-ways/</t>
  </si>
  <si>
    <t>Coin Change</t>
  </si>
  <si>
    <t>https://leetcode.com/problems/coin-change/</t>
  </si>
  <si>
    <t>Maximum Product Subarray</t>
  </si>
  <si>
    <t>https://leetcode.com/problems/maximum-product-subarray/</t>
  </si>
  <si>
    <t>Word Break</t>
  </si>
  <si>
    <t>https://leetcode.com/problems/word-break/</t>
  </si>
  <si>
    <t>Longest Increasing Subsequence</t>
  </si>
  <si>
    <t>https://leetcode.com/problems/longest-increasing-subsequence/</t>
  </si>
  <si>
    <t>Partition Equal Subset Sum</t>
  </si>
  <si>
    <t>https://leetcode.com/problems/partition-equal-subset-sum/</t>
  </si>
  <si>
    <t>2-D Dynamic Programming</t>
  </si>
  <si>
    <t>Unique Paths</t>
  </si>
  <si>
    <t>https://leetcode.com/problems/unique-paths/</t>
  </si>
  <si>
    <t>Longest Common Subsequence</t>
  </si>
  <si>
    <t>https://leetcode.com/problems/longest-common-subsequence/</t>
  </si>
  <si>
    <t>Best Time to Buy and Sell Stock with Cooldown</t>
  </si>
  <si>
    <t>https://leetcode.com/problems/best-time-to-buy-and-sell-stock-with-cooldown/</t>
  </si>
  <si>
    <t>Coin Change II</t>
  </si>
  <si>
    <t>https://leetcode.com/problems/coin-change-ii/</t>
  </si>
  <si>
    <t>Target Sum</t>
  </si>
  <si>
    <t>https://leetcode.com/problems/target-sum/</t>
  </si>
  <si>
    <t>Interleaving String</t>
  </si>
  <si>
    <t>https://leetcode.com/problems/interleaving-string/</t>
  </si>
  <si>
    <t>Longest Increasing Path in a Matrix</t>
  </si>
  <si>
    <t>https://leetcode.com/problems/longest-increasing-path-in-a-matrix/</t>
  </si>
  <si>
    <t>Distinct Subsequences</t>
  </si>
  <si>
    <t>https://leetcode.com/problems/distinct-subsequences/</t>
  </si>
  <si>
    <t>Edit Distance</t>
  </si>
  <si>
    <t>https://leetcode.com/problems/edit-distance/</t>
  </si>
  <si>
    <t>Burst Balloons</t>
  </si>
  <si>
    <t>https://leetcode.com/problems/burst-balloons/</t>
  </si>
  <si>
    <t>Regular Expression Matching</t>
  </si>
  <si>
    <t>https://leetcode.com/problems/regular-expression-matching/</t>
  </si>
  <si>
    <t>Greedy</t>
  </si>
  <si>
    <t>Maximum Subarray</t>
  </si>
  <si>
    <t>https://leetcode.com/problems/maximum-subarray/</t>
  </si>
  <si>
    <t>Jump Game</t>
  </si>
  <si>
    <t>https://leetcode.com/problems/jump-game/</t>
  </si>
  <si>
    <t>Jump Game II</t>
  </si>
  <si>
    <t>https://leetcode.com/problems/jump-game-ii/</t>
  </si>
  <si>
    <t>Gas Station</t>
  </si>
  <si>
    <t>https://leetcode.com/problems/gas-station/</t>
  </si>
  <si>
    <t>Hand of Straights</t>
  </si>
  <si>
    <t>https://leetcode.com/problems/hand-of-straights/</t>
  </si>
  <si>
    <t>Merge Triplets to Form Target Triplet</t>
  </si>
  <si>
    <t>https://leetcode.com/problems/merge-triplets-to-form-target-triplet/</t>
  </si>
  <si>
    <t>Partition Labels</t>
  </si>
  <si>
    <t>https://leetcode.com/problems/partition-labels/</t>
  </si>
  <si>
    <t>Valid Parenthesis String</t>
  </si>
  <si>
    <t>https://leetcode.com/problems/valid-parenthesis-string/</t>
  </si>
  <si>
    <t>Intervals</t>
  </si>
  <si>
    <t>Insert Interval</t>
  </si>
  <si>
    <t>https://leetcode.com/problems/insert-interval/</t>
  </si>
  <si>
    <t>Merge Intervals</t>
  </si>
  <si>
    <t>https://leetcode.com/problems/merge-intervals/</t>
  </si>
  <si>
    <t>Non-overlapping Intervals</t>
  </si>
  <si>
    <t>https://leetcode.com/problems/non-overlapping-intervals/</t>
  </si>
  <si>
    <t>Meeting Rooms</t>
  </si>
  <si>
    <t>https://leetcode.com/problems/meeting-rooms/</t>
  </si>
  <si>
    <t>Meeting Rooms II</t>
  </si>
  <si>
    <t>https://leetcode.com/problems/meeting-rooms-ii/</t>
  </si>
  <si>
    <t>Minimum Interval to Include Each Query</t>
  </si>
  <si>
    <t>https://leetcode.com/problems/minimum-interval-to-include-each-query/</t>
  </si>
  <si>
    <t>Math &amp; Geometry</t>
  </si>
  <si>
    <t>Rotate Image</t>
  </si>
  <si>
    <t>https://leetcode.com/problems/rotate-image/</t>
  </si>
  <si>
    <t>Spiral Matrix</t>
  </si>
  <si>
    <t>https://leetcode.com/problems/spiral-matrix/</t>
  </si>
  <si>
    <t>Set Matrix Zeroes</t>
  </si>
  <si>
    <t>https://leetcode.com/problems/set-matrix-zeroes/</t>
  </si>
  <si>
    <t>Happy Number</t>
  </si>
  <si>
    <t>https://leetcode.com/problems/happy-number/</t>
  </si>
  <si>
    <t>Plus One</t>
  </si>
  <si>
    <t>https://leetcode.com/problems/plus-one/</t>
  </si>
  <si>
    <t>Pow(x, n)</t>
  </si>
  <si>
    <t>https://leetcode.com/problems/powx-n/</t>
  </si>
  <si>
    <t>Multiply Strings</t>
  </si>
  <si>
    <t>https://leetcode.com/problems/multiply-strings/</t>
  </si>
  <si>
    <t>Detect Squares</t>
  </si>
  <si>
    <t>https://leetcode.com/problems/detect-squares/</t>
  </si>
  <si>
    <t>Bit Manipulation</t>
  </si>
  <si>
    <t>Single Number</t>
  </si>
  <si>
    <t>https://leetcode.com/problems/single-number/</t>
  </si>
  <si>
    <t>Number of 1 Bits</t>
  </si>
  <si>
    <t>https://leetcode.com/problems/number-of-1-bits/</t>
  </si>
  <si>
    <t>Counting Bits</t>
  </si>
  <si>
    <t>https://leetcode.com/problems/counting-bits/</t>
  </si>
  <si>
    <t>Reverse Bits</t>
  </si>
  <si>
    <t>https://leetcode.com/problems/reverse-bits/</t>
  </si>
  <si>
    <t>Missing Number</t>
  </si>
  <si>
    <t>https://leetcode.com/problems/missing-number/</t>
  </si>
  <si>
    <t>Sum of Two Integers</t>
  </si>
  <si>
    <t>https://leetcode.com/problems/sum-of-two-integers/</t>
  </si>
  <si>
    <t>Reverse Integer</t>
  </si>
  <si>
    <t>https://leetcode.com/problems/reverse-integer/</t>
  </si>
  <si>
    <t>Pattern / Topic</t>
  </si>
  <si>
    <t>LC #</t>
  </si>
  <si>
    <t>1. Sliding Window</t>
  </si>
  <si>
    <t>Minimum Size Subarray Sum</t>
  </si>
  <si>
    <t>https://leetcode.com/problems/minimum-size-subarray-sum/</t>
  </si>
  <si>
    <t>Fruit Into Baskets</t>
  </si>
  <si>
    <t>https://leetcode.com/problems/fruit-into-baskets/</t>
  </si>
  <si>
    <t>2. Two Pointers</t>
  </si>
  <si>
    <t>3Sum Closest</t>
  </si>
  <si>
    <t>https://leetcode.com/problems/3sum-closest/</t>
  </si>
  <si>
    <t>4Sum</t>
  </si>
  <si>
    <t>https://leetcode.com/problems/4sum/</t>
  </si>
  <si>
    <t>3. Fast/Slow Pointers (Linked List)</t>
  </si>
  <si>
    <t>Fast/Slow Pointers (Linked List)</t>
  </si>
  <si>
    <t>Linked List Cycle II</t>
  </si>
  <si>
    <t>https://leetcode.com/problems/linked-list-cycle-ii/</t>
  </si>
  <si>
    <t>Middle of the Linked List</t>
  </si>
  <si>
    <t>https://leetcode.com/problems/middle-of-the-linked-list/</t>
  </si>
  <si>
    <t>Intersection of Two Linked Lists</t>
  </si>
  <si>
    <t>https://leetcode.com/problems/intersection-of-two-linked-lists/</t>
  </si>
  <si>
    <t>Palindrome Linked List</t>
  </si>
  <si>
    <t>https://leetcode.com/problems/palindrome-linked-list/</t>
  </si>
  <si>
    <t>4. Binary Search on Sorted Data</t>
  </si>
  <si>
    <t>Binary Search on Sorted Data</t>
  </si>
  <si>
    <t>Find First and Last Position of Element in Sorted Array</t>
  </si>
  <si>
    <t>https://leetcode.com/problems/find-first-and-last-position-of-element-in-sorted-array/</t>
  </si>
  <si>
    <t>Search Insert Position</t>
  </si>
  <si>
    <t>https://leetcode.com/problems/search-insert-position/</t>
  </si>
  <si>
    <t>Find Peak Element</t>
  </si>
  <si>
    <t>https://leetcode.com/problems/find-peak-element/</t>
  </si>
  <si>
    <t>5. Binary Search on Answer</t>
  </si>
  <si>
    <t>Binary Search on Answer</t>
  </si>
  <si>
    <t>Capacity To Ship Packages Within D Days</t>
  </si>
  <si>
    <t>https://leetcode.com/problems/capacity-to-ship-packages-within-d-days/</t>
  </si>
  <si>
    <t>Split Array Largest Sum</t>
  </si>
  <si>
    <t>https://leetcode.com/problems/split-array-largest-sum/</t>
  </si>
  <si>
    <t>Minimize Max Distance to Gas Station</t>
  </si>
  <si>
    <t>https://leetcode.com/problems/minimize-max-distance-to-gas-station/</t>
  </si>
  <si>
    <t>Find the Smallest Divisor Given a Threshold</t>
  </si>
  <si>
    <t>https://leetcode.com/problems/find-the-smallest-divisor-given-a-threshold/</t>
  </si>
  <si>
    <t>Minimum Number of Days to Make m Bouquets</t>
  </si>
  <si>
    <t>https://leetcode.com/problems/minimum-number-of-days-to-make-m-bouquets/</t>
  </si>
  <si>
    <t>6. Hashing / Frequency Maps</t>
  </si>
  <si>
    <t>Hashing / Frequency Maps</t>
  </si>
  <si>
    <t>7. Prefix Sum / Running Sum</t>
  </si>
  <si>
    <t>Prefix Sum / Running Sum</t>
  </si>
  <si>
    <t>Range Sum Query - Immutable</t>
  </si>
  <si>
    <t>https://leetcode.com/problems/range-sum-query-immutable/</t>
  </si>
  <si>
    <t>Subarray Sum Equals K</t>
  </si>
  <si>
    <t>https://leetcode.com/problems/subarray-sum-equals-k/</t>
  </si>
  <si>
    <t>Find Pivot Index</t>
  </si>
  <si>
    <t>https://leetcode.com/problems/find-pivot-index/</t>
  </si>
  <si>
    <t>Binary Subarrays With Sum</t>
  </si>
  <si>
    <t>https://leetcode.com/problems/binary-subarrays-with-sum/</t>
  </si>
  <si>
    <t>Subarray Sums Divisible by K</t>
  </si>
  <si>
    <t>https://leetcode.com/problems/subarray-sums-divisible-by-k/</t>
  </si>
  <si>
    <t>Continuous Subarray Sum</t>
  </si>
  <si>
    <t>https://leetcode.com/problems/continuous-subarray-sum/</t>
  </si>
  <si>
    <t>8. Difference Array / Range Updates</t>
  </si>
  <si>
    <t>Difference Array / Range Updates</t>
  </si>
  <si>
    <t>Range Addition</t>
  </si>
  <si>
    <t>https://leetcode.com/problems/range-addition/</t>
  </si>
  <si>
    <t>Car Pooling</t>
  </si>
  <si>
    <t>https://leetcode.com/problems/car-pooling/</t>
  </si>
  <si>
    <t>Corporate Flight Bookings</t>
  </si>
  <si>
    <t>https://leetcode.com/problems/corporate-flight-bookings/</t>
  </si>
  <si>
    <t>Check if All the Integers in a Range Are Covered</t>
  </si>
  <si>
    <t>https://leetcode.com/problems/check-if-all-the-integers-in-a-range-are-covered/</t>
  </si>
  <si>
    <t>Describe the Painting</t>
  </si>
  <si>
    <t>https://leetcode.com/problems/describe-the-painting/</t>
  </si>
  <si>
    <t>Shifting Letters II</t>
  </si>
  <si>
    <t>https://leetcode.com/problems/shifting-letters-ii/</t>
  </si>
  <si>
    <t>9. Monotonic Stack</t>
  </si>
  <si>
    <t>Monotonic Stack</t>
  </si>
  <si>
    <t>Next Greater Element I</t>
  </si>
  <si>
    <t>https://leetcode.com/problems/next-greater-element-i/</t>
  </si>
  <si>
    <t>Next Greater Element II</t>
  </si>
  <si>
    <t>https://leetcode.com/problems/next-greater-element-ii/</t>
  </si>
  <si>
    <t>Maximal Rectangle</t>
  </si>
  <si>
    <t>https://leetcode.com/problems/maximal-rectangle/</t>
  </si>
  <si>
    <t>Online Stock Span</t>
  </si>
  <si>
    <t>https://leetcode.com/problems/online-stock-span/</t>
  </si>
  <si>
    <t>10. Monotonic Queue / Deque</t>
  </si>
  <si>
    <t>Monotonic Queue / Deque</t>
  </si>
  <si>
    <t>Shortest Subarray with Sum at Least K</t>
  </si>
  <si>
    <t>https://leetcode.com/problems/shortest-subarray-with-sum-at-least-k/</t>
  </si>
  <si>
    <t>Constrained Subsequence Sum</t>
  </si>
  <si>
    <t>https://leetcode.com/problems/constrained-subsequence-sum/</t>
  </si>
  <si>
    <t>Longest Continuous Subarray With Absolute Diff Less Than or Equal to Limit</t>
  </si>
  <si>
    <t>https://leetcode.com/problems/longest-continuous-subarray-with-absolute-diff-less-than-or-equal-to-limit/</t>
  </si>
  <si>
    <t>Max Value of Equation</t>
  </si>
  <si>
    <t>https://leetcode.com/problems/max-value-of-equation/</t>
  </si>
  <si>
    <t>Jump Game VI</t>
  </si>
  <si>
    <t>https://leetcode.com/problems/jump-game-vi/</t>
  </si>
  <si>
    <t>11. Heap / Top K</t>
  </si>
  <si>
    <t>Heap / Top K</t>
  </si>
  <si>
    <t>Top K Frequent Words</t>
  </si>
  <si>
    <t>https://leetcode.com/problems/top-k-frequent-words/</t>
  </si>
  <si>
    <t>12. Intervals</t>
  </si>
  <si>
    <t>Minimum Number of Arrows to Burst Balloons</t>
  </si>
  <si>
    <t>https://leetcode.com/problems/minimum-number-of-arrows-to-burst-balloons/</t>
  </si>
  <si>
    <t>13. Greedy Scheduling / Sorting</t>
  </si>
  <si>
    <t>Greedy Scheduling / Sorting</t>
  </si>
  <si>
    <t>Queue Reconstruction by Height</t>
  </si>
  <si>
    <t>https://leetcode.com/problems/queue-reconstruction-by-height/</t>
  </si>
  <si>
    <t>14. Linked List Manipulation</t>
  </si>
  <si>
    <t>Linked List Manipulation</t>
  </si>
  <si>
    <t>Swap Nodes in Pairs</t>
  </si>
  <si>
    <t>https://leetcode.com/problems/swap-nodes-in-pairs/</t>
  </si>
  <si>
    <t>Reverse Linked List II</t>
  </si>
  <si>
    <t>https://leetcode.com/problems/reverse-linked-list-ii/</t>
  </si>
  <si>
    <t>15. Tree DFS</t>
  </si>
  <si>
    <t>Tree DFS</t>
  </si>
  <si>
    <t>Path Sum</t>
  </si>
  <si>
    <t>https://leetcode.com/problems/path-sum/</t>
  </si>
  <si>
    <t>Path Sum II</t>
  </si>
  <si>
    <t>https://leetcode.com/problems/path-sum-ii/</t>
  </si>
  <si>
    <t>16. Tree BFS / Level Order</t>
  </si>
  <si>
    <t>Tree BFS / Level Order</t>
  </si>
  <si>
    <t>Binary Tree Zigzag Level Order Traversal</t>
  </si>
  <si>
    <t>https://leetcode.com/problems/binary-tree-zigzag-level-order-traversal/</t>
  </si>
  <si>
    <t>Find Largest Value in Each Tree Row</t>
  </si>
  <si>
    <t>https://leetcode.com/problems/find-largest-value-in-each-tree-row/</t>
  </si>
  <si>
    <t>Average of Levels in Binary Tree</t>
  </si>
  <si>
    <t>https://leetcode.com/problems/average-of-levels-in-binary-tree/</t>
  </si>
  <si>
    <t>Populating Next Right Pointers in Each Node</t>
  </si>
  <si>
    <t>https://leetcode.com/problems/populating-next-right-pointers-in-each-node/</t>
  </si>
  <si>
    <t>17. BST Problems</t>
  </si>
  <si>
    <t>BST Problems</t>
  </si>
  <si>
    <t>Recover Binary Search Tree</t>
  </si>
  <si>
    <t>https://leetcode.com/problems/recover-binary-search-tree/</t>
  </si>
  <si>
    <t>Lowest Common Ancestor of a Binary Search Tree</t>
  </si>
  <si>
    <t>Delete Node in a BST</t>
  </si>
  <si>
    <t>https://leetcode.com/problems/delete-node-in-a-bst/</t>
  </si>
  <si>
    <t>Search in a Binary Search Tree</t>
  </si>
  <si>
    <t>https://leetcode.com/problems/search-in-a-binary-search-tree/</t>
  </si>
  <si>
    <t>18. Backtracking Basics</t>
  </si>
  <si>
    <t>Backtracking Basics</t>
  </si>
  <si>
    <t>Permutations II</t>
  </si>
  <si>
    <t>https://leetcode.com/problems/permutations-ii/</t>
  </si>
  <si>
    <t>Combinations</t>
  </si>
  <si>
    <t>https://leetcode.com/problems/combinations/</t>
  </si>
  <si>
    <t>19. Backtracking with Constraints</t>
  </si>
  <si>
    <t>Backtracking with Constraints</t>
  </si>
  <si>
    <t>N-Queens II</t>
  </si>
  <si>
    <t>https://leetcode.com/problems/n-queens-ii/</t>
  </si>
  <si>
    <t>20. Graph BFS / DFS</t>
  </si>
  <si>
    <t>Graph BFS / DFS</t>
  </si>
  <si>
    <t>Flood Fill</t>
  </si>
  <si>
    <t>https://leetcode.com/problems/flood-fill/</t>
  </si>
  <si>
    <t>Shortest Path in Binary Matrix</t>
  </si>
  <si>
    <t>https://leetcode.com/problems/shortest-path-in-binary-matrix/</t>
  </si>
  <si>
    <t>Number of Closed Islands</t>
  </si>
  <si>
    <t>https://leetcode.com/problems/number-of-closed-islands/</t>
  </si>
  <si>
    <t>21. Topological Sort / DAG</t>
  </si>
  <si>
    <t>Topological Sort / DAG</t>
  </si>
  <si>
    <t>Find Eventual Safe States</t>
  </si>
  <si>
    <t>https://leetcode.com/problems/find-eventual-safe-states/</t>
  </si>
  <si>
    <t>Course Schedule IV</t>
  </si>
  <si>
    <t>https://leetcode.com/problems/course-schedule-iv/</t>
  </si>
  <si>
    <t>Sort Items by Groups Respecting Dependencies</t>
  </si>
  <si>
    <t>https://leetcode.com/problems/sort-items-by-groups-respecting-dependencies/</t>
  </si>
  <si>
    <t>Find All Possible Recipes from Given Supplies</t>
  </si>
  <si>
    <t>https://leetcode.com/problems/find-all-possible-recipes-from-given-supplies/</t>
  </si>
  <si>
    <t>22. Union Find / DSU</t>
  </si>
  <si>
    <t>Union Find / DSU</t>
  </si>
  <si>
    <t>Number of Provinces</t>
  </si>
  <si>
    <t>https://leetcode.com/problems/number-of-provinces/</t>
  </si>
  <si>
    <t>Number of Operations to Make Network Connected</t>
  </si>
  <si>
    <t>https://leetcode.com/problems/number-of-operations-to-make-network-connected/</t>
  </si>
  <si>
    <t>Remove Max Number of Edges to Keep Graph Fully Traversable</t>
  </si>
  <si>
    <t>https://leetcode.com/problems/remove-max-number-of-edges-to-keep-graph-fully-traversable/</t>
  </si>
  <si>
    <t>Satisfiability of Equality Equations</t>
  </si>
  <si>
    <t>https://leetcode.com/problems/satisfiability-of-equality-equations/</t>
  </si>
  <si>
    <t>Smallest String With Swaps</t>
  </si>
  <si>
    <t>https://leetcode.com/problems/smallest-string-with-swaps/</t>
  </si>
  <si>
    <t>23. Shortest Path</t>
  </si>
  <si>
    <t>Shortest Path</t>
  </si>
  <si>
    <t>Path with Maximum Probability</t>
  </si>
  <si>
    <t>https://leetcode.com/problems/path-with-maximum-probability/</t>
  </si>
  <si>
    <t>Path With Minimum Effort</t>
  </si>
  <si>
    <t>https://leetcode.com/problems/path-with-minimum-effort/</t>
  </si>
  <si>
    <t>Find the City With the Smallest Number of Neighbors at a Threshold Distance</t>
  </si>
  <si>
    <t>https://leetcode.com/problems/find-the-city-with-the-smallest-number-of-neighbors-at-a-threshold-distance/</t>
  </si>
  <si>
    <t>Number of Ways to Arrive at Destination</t>
  </si>
  <si>
    <t>https://leetcode.com/problems/number-of-ways-to-arrive-at-destination/</t>
  </si>
  <si>
    <t>24. MST / Graph Greedy</t>
  </si>
  <si>
    <t>MST / Graph Greedy</t>
  </si>
  <si>
    <t>Connecting Cities With Minimum Cost</t>
  </si>
  <si>
    <t>https://leetcode.com/problems/connecting-cities-with-minimum-cost/</t>
  </si>
  <si>
    <t>Optimize Water Distribution in a Village</t>
  </si>
  <si>
    <t>https://leetcode.com/problems/optimize-water-distribution-in-a-village/</t>
  </si>
  <si>
    <t>Find Critical and Pseudo-Critical Edges in Minimum Spanning Tree</t>
  </si>
  <si>
    <t>https://leetcode.com/problems/find-critical-and-pseudo-critical-edges-in-minimum-spanning-tree/</t>
  </si>
  <si>
    <t>Path With Maximum Minimum Value</t>
  </si>
  <si>
    <t>https://leetcode.com/problems/path-with-maximum-minimum-value/</t>
  </si>
  <si>
    <t>25. Trie</t>
  </si>
  <si>
    <t>Trie</t>
  </si>
  <si>
    <t>Replace Words</t>
  </si>
  <si>
    <t>https://leetcode.com/problems/replace-words/</t>
  </si>
  <si>
    <t>Map Sum Pairs</t>
  </si>
  <si>
    <t>https://leetcode.com/problems/map-sum-pairs/</t>
  </si>
  <si>
    <t>Search Suggestions System</t>
  </si>
  <si>
    <t>https://leetcode.com/problems/search-suggestions-system/</t>
  </si>
  <si>
    <t>26. Bit Manipulation</t>
  </si>
  <si>
    <t>Single Number II</t>
  </si>
  <si>
    <t>https://leetcode.com/problems/single-number-ii/</t>
  </si>
  <si>
    <t>27. 1D DP Basics</t>
  </si>
  <si>
    <t>1D DP Basics</t>
  </si>
  <si>
    <t>Perfect Squares</t>
  </si>
  <si>
    <t>https://leetcode.com/problems/perfect-squares/</t>
  </si>
  <si>
    <t>28. Knapsack / Subset DP</t>
  </si>
  <si>
    <t>Knapsack / Subset DP</t>
  </si>
  <si>
    <t>Ones and Zeroes</t>
  </si>
  <si>
    <t>https://leetcode.com/problems/ones-and-zeroes/</t>
  </si>
  <si>
    <t>Last Stone Weight II</t>
  </si>
  <si>
    <t>https://leetcode.com/problems/last-stone-weight-ii/</t>
  </si>
  <si>
    <t>Profitable Schemes</t>
  </si>
  <si>
    <t>https://leetcode.com/problems/profitable-schemes/</t>
  </si>
  <si>
    <t>29. Grid DP</t>
  </si>
  <si>
    <t>Grid DP</t>
  </si>
  <si>
    <t>Unique Paths II</t>
  </si>
  <si>
    <t>https://leetcode.com/problems/unique-paths-ii/</t>
  </si>
  <si>
    <t>Minimum Path Sum</t>
  </si>
  <si>
    <t>https://leetcode.com/problems/minimum-path-sum/</t>
  </si>
  <si>
    <t>Maximal Square</t>
  </si>
  <si>
    <t>https://leetcode.com/problems/maximal-square/</t>
  </si>
  <si>
    <t>Minimum Falling Path Sum</t>
  </si>
  <si>
    <t>https://leetcode.com/problems/minimum-falling-path-sum/</t>
  </si>
  <si>
    <t>Triangle</t>
  </si>
  <si>
    <t>https://leetcode.com/problems/triangle/</t>
  </si>
  <si>
    <t>30. String DP / Sequence DP</t>
  </si>
  <si>
    <t>String DP / Sequence DP</t>
  </si>
  <si>
    <t>Delete Operation for Two Strings</t>
  </si>
  <si>
    <t>https://leetcode.com/problems/delete-operation-for-two-strings/</t>
  </si>
  <si>
    <t>Minimum Insertion Steps to Make a String Palindrome</t>
  </si>
  <si>
    <t>https://leetcode.com/problems/minimum-insertion-steps-to-make-a-string-palindrome/</t>
  </si>
  <si>
    <t>NeetCode 150 — Topic Summary</t>
  </si>
  <si>
    <t>Total</t>
  </si>
  <si>
    <t>Done</t>
  </si>
  <si>
    <t>Progress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</si>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</sst>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2D6A2F"/>
      <name val="Arial"/>
      <charset val="1"/>
    </font>
    <font>
      <u/>
      <sz val="10"/>
      <color rgb="FF0563C1"/>
      <name val="Arial"/>
      <charset val="1"/>
    </font>
    <font>
      <b/>
      <sz val="10"/>
      <color rgb="FFB25900"/>
      <name val="Arial"/>
      <charset val="1"/>
    </font>
    <font>
      <b/>
      <sz val="10"/>
      <color rgb="FFA02020"/>
      <name val="Arial"/>
      <charset val="1"/>
    </font>
    <font>
      <b/>
      <sz val="14"/>
      <color rgb="FF1F4E78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5E8D4"/>
        <bgColor rgb="FFE7E6E6"/>
      </patternFill>
    </fill>
    <fill>
      <patternFill patternType="solid">
        <fgColor rgb="FFFFE6CC"/>
        <bgColor rgb="FFE7E6E6"/>
      </patternFill>
    </fill>
    <fill>
      <patternFill patternType="solid">
        <fgColor rgb="FFF8CECC"/>
        <bgColor rgb="FFFFE6CC"/>
      </patternFill>
    </fill>
    <fill>
      <patternFill patternType="solid">
        <fgColor rgb="FF4472C4"/>
        <bgColor rgb="FF666699"/>
      </patternFill>
    </fill>
    <fill>
      <patternFill patternType="solid">
        <fgColor rgb="FFE7E6E6"/>
        <bgColor rgb="FFD5E8D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/>
    <xf numFmtId="164" fontId="2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/>
    <xf numFmtId="0" fontId="8" fillId="7" borderId="1" xfId="0" applyFont="1" applyFill="1" applyBorder="1" applyAlignment="1">
      <alignment horizontal="center"/>
    </xf>
    <xf numFmtId="164" fontId="8" fillId="7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D6A2F"/>
      <rgbColor rgb="FF000080"/>
      <rgbColor rgb="FFB25900"/>
      <rgbColor rgb="FF800080"/>
      <rgbColor rgb="FF008080"/>
      <rgbColor rgb="FFBFBFBF"/>
      <rgbColor rgb="FF808080"/>
      <rgbColor rgb="FF9999FF"/>
      <rgbColor rgb="FF993366"/>
      <rgbColor rgb="FFFFE6CC"/>
      <rgbColor rgb="FFE7E6E6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8CE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0202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longest-increasing-path-in-a-matrix/" TargetMode="External"/><Relationship Id="rId21" Type="http://schemas.openxmlformats.org/officeDocument/2006/relationships/hyperlink" Target="https://leetcode.com/problems/valid-parentheses/" TargetMode="External"/><Relationship Id="rId42" Type="http://schemas.openxmlformats.org/officeDocument/2006/relationships/hyperlink" Target="https://leetcode.com/problems/find-the-duplicate-number/" TargetMode="External"/><Relationship Id="rId63" Type="http://schemas.openxmlformats.org/officeDocument/2006/relationships/hyperlink" Target="https://leetcode.com/problems/word-search-ii/" TargetMode="External"/><Relationship Id="rId84" Type="http://schemas.openxmlformats.org/officeDocument/2006/relationships/hyperlink" Target="https://leetcode.com/problems/rotting-oranges/" TargetMode="External"/><Relationship Id="rId138" Type="http://schemas.openxmlformats.org/officeDocument/2006/relationships/hyperlink" Target="https://leetcode.com/problems/set-matrix-zeroes/" TargetMode="External"/><Relationship Id="rId107" Type="http://schemas.openxmlformats.org/officeDocument/2006/relationships/hyperlink" Target="https://leetcode.com/problems/maximum-product-subarray/" TargetMode="External"/><Relationship Id="rId11" Type="http://schemas.openxmlformats.org/officeDocument/2006/relationships/hyperlink" Target="https://leetcode.com/problems/two-sum-ii-input-array-is-sorted/" TargetMode="External"/><Relationship Id="rId32" Type="http://schemas.openxmlformats.org/officeDocument/2006/relationships/hyperlink" Target="https://leetcode.com/problems/search-in-rotated-sorted-array/" TargetMode="External"/><Relationship Id="rId53" Type="http://schemas.openxmlformats.org/officeDocument/2006/relationships/hyperlink" Target="https://leetcode.com/problems/binary-tree-level-order-traversal/" TargetMode="External"/><Relationship Id="rId74" Type="http://schemas.openxmlformats.org/officeDocument/2006/relationships/hyperlink" Target="https://leetcode.com/problems/subsets-ii/" TargetMode="External"/><Relationship Id="rId128" Type="http://schemas.openxmlformats.org/officeDocument/2006/relationships/hyperlink" Target="https://leetcode.com/problems/partition-labels/" TargetMode="External"/><Relationship Id="rId149" Type="http://schemas.openxmlformats.org/officeDocument/2006/relationships/hyperlink" Target="https://leetcode.com/problems/sum-of-two-integers/" TargetMode="External"/><Relationship Id="rId5" Type="http://schemas.openxmlformats.org/officeDocument/2006/relationships/hyperlink" Target="https://leetcode.com/problems/top-k-frequent-elements/" TargetMode="External"/><Relationship Id="rId95" Type="http://schemas.openxmlformats.org/officeDocument/2006/relationships/hyperlink" Target="https://leetcode.com/problems/network-delay-time/" TargetMode="External"/><Relationship Id="rId22" Type="http://schemas.openxmlformats.org/officeDocument/2006/relationships/hyperlink" Target="https://leetcode.com/problems/min-stack/" TargetMode="External"/><Relationship Id="rId27" Type="http://schemas.openxmlformats.org/officeDocument/2006/relationships/hyperlink" Target="https://leetcode.com/problems/largest-rectangle-in-histogram/" TargetMode="External"/><Relationship Id="rId43" Type="http://schemas.openxmlformats.org/officeDocument/2006/relationships/hyperlink" Target="https://leetcode.com/problems/lru-cache/" TargetMode="External"/><Relationship Id="rId48" Type="http://schemas.openxmlformats.org/officeDocument/2006/relationships/hyperlink" Target="https://leetcode.com/problems/diameter-of-binary-tree/" TargetMode="External"/><Relationship Id="rId64" Type="http://schemas.openxmlformats.org/officeDocument/2006/relationships/hyperlink" Target="https://leetcode.com/problems/kth-largest-element-in-a-stream/" TargetMode="External"/><Relationship Id="rId69" Type="http://schemas.openxmlformats.org/officeDocument/2006/relationships/hyperlink" Target="https://leetcode.com/problems/design-twitter/" TargetMode="External"/><Relationship Id="rId113" Type="http://schemas.openxmlformats.org/officeDocument/2006/relationships/hyperlink" Target="https://leetcode.com/problems/best-time-to-buy-and-sell-stock-with-cooldown/" TargetMode="External"/><Relationship Id="rId118" Type="http://schemas.openxmlformats.org/officeDocument/2006/relationships/hyperlink" Target="https://leetcode.com/problems/distinct-subsequences/" TargetMode="External"/><Relationship Id="rId134" Type="http://schemas.openxmlformats.org/officeDocument/2006/relationships/hyperlink" Target="https://leetcode.com/problems/meeting-rooms-ii/" TargetMode="External"/><Relationship Id="rId139" Type="http://schemas.openxmlformats.org/officeDocument/2006/relationships/hyperlink" Target="https://leetcode.com/problems/happy-number/" TargetMode="External"/><Relationship Id="rId80" Type="http://schemas.openxmlformats.org/officeDocument/2006/relationships/hyperlink" Target="https://leetcode.com/problems/number-of-islands/" TargetMode="External"/><Relationship Id="rId85" Type="http://schemas.openxmlformats.org/officeDocument/2006/relationships/hyperlink" Target="https://leetcode.com/problems/pacific-atlantic-water-flow/" TargetMode="External"/><Relationship Id="rId150" Type="http://schemas.openxmlformats.org/officeDocument/2006/relationships/hyperlink" Target="https://leetcode.com/problems/reverse-integer/" TargetMode="External"/><Relationship Id="rId12" Type="http://schemas.openxmlformats.org/officeDocument/2006/relationships/hyperlink" Target="https://leetcode.com/problems/3sum/" TargetMode="External"/><Relationship Id="rId17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time-based-key-value-store/" TargetMode="External"/><Relationship Id="rId38" Type="http://schemas.openxmlformats.org/officeDocument/2006/relationships/hyperlink" Target="https://leetcode.com/problems/remove-nth-node-from-end-of-list/" TargetMode="External"/><Relationship Id="rId59" Type="http://schemas.openxmlformats.org/officeDocument/2006/relationships/hyperlink" Target="https://leetcode.com/problems/binary-tree-maximum-path-sum/" TargetMode="External"/><Relationship Id="rId103" Type="http://schemas.openxmlformats.org/officeDocument/2006/relationships/hyperlink" Target="https://leetcode.com/problems/longest-palindromic-substring/" TargetMode="External"/><Relationship Id="rId108" Type="http://schemas.openxmlformats.org/officeDocument/2006/relationships/hyperlink" Target="https://leetcode.com/problems/word-break/" TargetMode="External"/><Relationship Id="rId124" Type="http://schemas.openxmlformats.org/officeDocument/2006/relationships/hyperlink" Target="https://leetcode.com/problems/jump-game-ii/" TargetMode="External"/><Relationship Id="rId129" Type="http://schemas.openxmlformats.org/officeDocument/2006/relationships/hyperlink" Target="https://leetcode.com/problems/valid-parenthesis-string/" TargetMode="External"/><Relationship Id="rId54" Type="http://schemas.openxmlformats.org/officeDocument/2006/relationships/hyperlink" Target="https://leetcode.com/problems/binary-tree-right-side-view/" TargetMode="External"/><Relationship Id="rId70" Type="http://schemas.openxmlformats.org/officeDocument/2006/relationships/hyperlink" Target="https://leetcode.com/problems/find-median-from-data-stream/" TargetMode="External"/><Relationship Id="rId75" Type="http://schemas.openxmlformats.org/officeDocument/2006/relationships/hyperlink" Target="https://leetcode.com/problems/combination-sum-ii/" TargetMode="External"/><Relationship Id="rId91" Type="http://schemas.openxmlformats.org/officeDocument/2006/relationships/hyperlink" Target="https://leetcode.com/problems/redundant-connection/" TargetMode="External"/><Relationship Id="rId96" Type="http://schemas.openxmlformats.org/officeDocument/2006/relationships/hyperlink" Target="https://leetcode.com/problems/swim-in-rising-water/" TargetMode="External"/><Relationship Id="rId140" Type="http://schemas.openxmlformats.org/officeDocument/2006/relationships/hyperlink" Target="https://leetcode.com/problems/plus-one/" TargetMode="External"/><Relationship Id="rId145" Type="http://schemas.openxmlformats.org/officeDocument/2006/relationships/hyperlink" Target="https://leetcode.com/problems/number-of-1-bits/" TargetMode="External"/><Relationship Id="rId1" Type="http://schemas.openxmlformats.org/officeDocument/2006/relationships/hyperlink" Target="https://leetcode.com/problems/contains-duplicate/" TargetMode="External"/><Relationship Id="rId6" Type="http://schemas.openxmlformats.org/officeDocument/2006/relationships/hyperlink" Target="https://leetcode.com/problems/encode-and-decode-strings/" TargetMode="External"/><Relationship Id="rId23" Type="http://schemas.openxmlformats.org/officeDocument/2006/relationships/hyperlink" Target="https://leetcode.com/problems/evaluate-reverse-polish-notation/" TargetMode="External"/><Relationship Id="rId28" Type="http://schemas.openxmlformats.org/officeDocument/2006/relationships/hyperlink" Target="https://leetcode.com/problems/binary-search/" TargetMode="External"/><Relationship Id="rId49" Type="http://schemas.openxmlformats.org/officeDocument/2006/relationships/hyperlink" Target="https://leetcode.com/problems/balanced-binary-tree/" TargetMode="External"/><Relationship Id="rId114" Type="http://schemas.openxmlformats.org/officeDocument/2006/relationships/hyperlink" Target="https://leetcode.com/problems/coin-change-ii/" TargetMode="External"/><Relationship Id="rId119" Type="http://schemas.openxmlformats.org/officeDocument/2006/relationships/hyperlink" Target="https://leetcode.com/problems/edit-distance/" TargetMode="External"/><Relationship Id="rId44" Type="http://schemas.openxmlformats.org/officeDocument/2006/relationships/hyperlink" Target="https://leetcode.com/problems/merge-k-sorted-lists/" TargetMode="External"/><Relationship Id="rId60" Type="http://schemas.openxmlformats.org/officeDocument/2006/relationships/hyperlink" Target="https://leetcode.com/problems/serialize-and-deserialize-binary-tree/" TargetMode="External"/><Relationship Id="rId65" Type="http://schemas.openxmlformats.org/officeDocument/2006/relationships/hyperlink" Target="https://leetcode.com/problems/last-stone-weight/" TargetMode="External"/><Relationship Id="rId81" Type="http://schemas.openxmlformats.org/officeDocument/2006/relationships/hyperlink" Target="https://leetcode.com/problems/max-area-of-island/" TargetMode="External"/><Relationship Id="rId86" Type="http://schemas.openxmlformats.org/officeDocument/2006/relationships/hyperlink" Target="https://leetcode.com/problems/surrounded-regions/" TargetMode="External"/><Relationship Id="rId130" Type="http://schemas.openxmlformats.org/officeDocument/2006/relationships/hyperlink" Target="https://leetcode.com/problems/insert-interval/" TargetMode="External"/><Relationship Id="rId135" Type="http://schemas.openxmlformats.org/officeDocument/2006/relationships/hyperlink" Target="https://leetcode.com/problems/minimum-interval-to-include-each-query/" TargetMode="External"/><Relationship Id="rId13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permutation-in-string/" TargetMode="External"/><Relationship Id="rId39" Type="http://schemas.openxmlformats.org/officeDocument/2006/relationships/hyperlink" Target="https://leetcode.com/problems/copy-list-with-random-pointer/" TargetMode="External"/><Relationship Id="rId109" Type="http://schemas.openxmlformats.org/officeDocument/2006/relationships/hyperlink" Target="https://leetcode.com/problems/longest-increasing-subsequence/" TargetMode="External"/><Relationship Id="rId34" Type="http://schemas.openxmlformats.org/officeDocument/2006/relationships/hyperlink" Target="https://leetcode.com/problems/median-of-two-sorted-arrays/" TargetMode="External"/><Relationship Id="rId50" Type="http://schemas.openxmlformats.org/officeDocument/2006/relationships/hyperlink" Target="https://leetcode.com/problems/same-tree/" TargetMode="External"/><Relationship Id="rId55" Type="http://schemas.openxmlformats.org/officeDocument/2006/relationships/hyperlink" Target="https://leetcode.com/problems/count-good-nodes-in-binary-tree/" TargetMode="External"/><Relationship Id="rId76" Type="http://schemas.openxmlformats.org/officeDocument/2006/relationships/hyperlink" Target="https://leetcode.com/problems/word-search/" TargetMode="External"/><Relationship Id="rId97" Type="http://schemas.openxmlformats.org/officeDocument/2006/relationships/hyperlink" Target="https://leetcode.com/problems/alien-dictionary/" TargetMode="External"/><Relationship Id="rId104" Type="http://schemas.openxmlformats.org/officeDocument/2006/relationships/hyperlink" Target="https://leetcode.com/problems/palindromic-substrings/" TargetMode="External"/><Relationship Id="rId120" Type="http://schemas.openxmlformats.org/officeDocument/2006/relationships/hyperlink" Target="https://leetcode.com/problems/burst-balloons/" TargetMode="External"/><Relationship Id="rId125" Type="http://schemas.openxmlformats.org/officeDocument/2006/relationships/hyperlink" Target="https://leetcode.com/problems/gas-station/" TargetMode="External"/><Relationship Id="rId141" Type="http://schemas.openxmlformats.org/officeDocument/2006/relationships/hyperlink" Target="https://leetcode.com/problems/powx-n/" TargetMode="External"/><Relationship Id="rId146" Type="http://schemas.openxmlformats.org/officeDocument/2006/relationships/hyperlink" Target="https://leetcode.com/problems/counting-bits/" TargetMode="External"/><Relationship Id="rId7" Type="http://schemas.openxmlformats.org/officeDocument/2006/relationships/hyperlink" Target="https://leetcode.com/problems/product-of-array-except-self/" TargetMode="External"/><Relationship Id="rId71" Type="http://schemas.openxmlformats.org/officeDocument/2006/relationships/hyperlink" Target="https://leetcode.com/problems/subsets/" TargetMode="External"/><Relationship Id="rId92" Type="http://schemas.openxmlformats.org/officeDocument/2006/relationships/hyperlink" Target="https://leetcode.com/problems/word-ladder/" TargetMode="External"/><Relationship Id="rId2" Type="http://schemas.openxmlformats.org/officeDocument/2006/relationships/hyperlink" Target="https://leetcode.com/problems/valid-anagram/" TargetMode="External"/><Relationship Id="rId29" Type="http://schemas.openxmlformats.org/officeDocument/2006/relationships/hyperlink" Target="https://leetcode.com/problems/search-a-2d-matrix/" TargetMode="External"/><Relationship Id="rId24" Type="http://schemas.openxmlformats.org/officeDocument/2006/relationships/hyperlink" Target="https://leetcode.com/problems/generate-parentheses/" TargetMode="External"/><Relationship Id="rId40" Type="http://schemas.openxmlformats.org/officeDocument/2006/relationships/hyperlink" Target="https://leetcode.com/problems/add-two-numbers/" TargetMode="External"/><Relationship Id="rId45" Type="http://schemas.openxmlformats.org/officeDocument/2006/relationships/hyperlink" Target="https://leetcode.com/problems/reverse-nodes-in-k-group/" TargetMode="External"/><Relationship Id="rId66" Type="http://schemas.openxmlformats.org/officeDocument/2006/relationships/hyperlink" Target="https://leetcode.com/problems/k-closest-points-to-origin/" TargetMode="External"/><Relationship Id="rId87" Type="http://schemas.openxmlformats.org/officeDocument/2006/relationships/hyperlink" Target="https://leetcode.com/problems/course-schedule/" TargetMode="External"/><Relationship Id="rId110" Type="http://schemas.openxmlformats.org/officeDocument/2006/relationships/hyperlink" Target="https://leetcode.com/problems/partition-equal-subset-sum/" TargetMode="External"/><Relationship Id="rId115" Type="http://schemas.openxmlformats.org/officeDocument/2006/relationships/hyperlink" Target="https://leetcode.com/problems/target-sum/" TargetMode="External"/><Relationship Id="rId131" Type="http://schemas.openxmlformats.org/officeDocument/2006/relationships/hyperlink" Target="https://leetcode.com/problems/merge-intervals/" TargetMode="External"/><Relationship Id="rId136" Type="http://schemas.openxmlformats.org/officeDocument/2006/relationships/hyperlink" Target="https://leetcode.com/problems/rotate-image/" TargetMode="External"/><Relationship Id="rId61" Type="http://schemas.openxmlformats.org/officeDocument/2006/relationships/hyperlink" Target="https://leetcode.com/problems/implement-trie-prefix-tree/" TargetMode="External"/><Relationship Id="rId82" Type="http://schemas.openxmlformats.org/officeDocument/2006/relationships/hyperlink" Target="https://leetcode.com/problems/clone-graph/" TargetMode="External"/><Relationship Id="rId19" Type="http://schemas.openxmlformats.org/officeDocument/2006/relationships/hyperlink" Target="https://leetcode.com/problems/minimum-window-substring/" TargetMode="External"/><Relationship Id="rId14" Type="http://schemas.openxmlformats.org/officeDocument/2006/relationships/hyperlink" Target="https://leetcode.com/problems/trapping-rain-water/" TargetMode="External"/><Relationship Id="rId30" Type="http://schemas.openxmlformats.org/officeDocument/2006/relationships/hyperlink" Target="https://leetcode.com/problems/koko-eating-bananas/" TargetMode="External"/><Relationship Id="rId35" Type="http://schemas.openxmlformats.org/officeDocument/2006/relationships/hyperlink" Target="https://leetcode.com/problems/reverse-linked-list/" TargetMode="External"/><Relationship Id="rId56" Type="http://schemas.openxmlformats.org/officeDocument/2006/relationships/hyperlink" Target="https://leetcode.com/problems/validate-binary-search-tree/" TargetMode="External"/><Relationship Id="rId77" Type="http://schemas.openxmlformats.org/officeDocument/2006/relationships/hyperlink" Target="https://leetcode.com/problems/palindrome-partitioning/" TargetMode="External"/><Relationship Id="rId100" Type="http://schemas.openxmlformats.org/officeDocument/2006/relationships/hyperlink" Target="https://leetcode.com/problems/min-cost-climbing-stairs/" TargetMode="External"/><Relationship Id="rId105" Type="http://schemas.openxmlformats.org/officeDocument/2006/relationships/hyperlink" Target="https://leetcode.com/problems/decode-ways/" TargetMode="External"/><Relationship Id="rId126" Type="http://schemas.openxmlformats.org/officeDocument/2006/relationships/hyperlink" Target="https://leetcode.com/problems/hand-of-straights/" TargetMode="External"/><Relationship Id="rId147" Type="http://schemas.openxmlformats.org/officeDocument/2006/relationships/hyperlink" Target="https://leetcode.com/problems/reverse-bits/" TargetMode="External"/><Relationship Id="rId8" Type="http://schemas.openxmlformats.org/officeDocument/2006/relationships/hyperlink" Target="https://leetcode.com/problems/valid-sudoku/" TargetMode="External"/><Relationship Id="rId51" Type="http://schemas.openxmlformats.org/officeDocument/2006/relationships/hyperlink" Target="https://leetcode.com/problems/subtree-of-another-tree/" TargetMode="External"/><Relationship Id="rId72" Type="http://schemas.openxmlformats.org/officeDocument/2006/relationships/hyperlink" Target="https://leetcode.com/problems/combination-sum/" TargetMode="External"/><Relationship Id="rId93" Type="http://schemas.openxmlformats.org/officeDocument/2006/relationships/hyperlink" Target="https://leetcode.com/problems/reconstruct-itinerary/" TargetMode="External"/><Relationship Id="rId98" Type="http://schemas.openxmlformats.org/officeDocument/2006/relationships/hyperlink" Target="https://leetcode.com/problems/cheapest-flights-within-k-stops/" TargetMode="External"/><Relationship Id="rId121" Type="http://schemas.openxmlformats.org/officeDocument/2006/relationships/hyperlink" Target="https://leetcode.com/problems/regular-expression-matching/" TargetMode="External"/><Relationship Id="rId142" Type="http://schemas.openxmlformats.org/officeDocument/2006/relationships/hyperlink" Target="https://leetcode.com/problems/multiply-strings/" TargetMode="External"/><Relationship Id="rId3" Type="http://schemas.openxmlformats.org/officeDocument/2006/relationships/hyperlink" Target="https://leetcode.com/problems/two-sum/" TargetMode="External"/><Relationship Id="rId25" Type="http://schemas.openxmlformats.org/officeDocument/2006/relationships/hyperlink" Target="https://leetcode.com/problems/daily-temperatures/" TargetMode="External"/><Relationship Id="rId46" Type="http://schemas.openxmlformats.org/officeDocument/2006/relationships/hyperlink" Target="https://leetcode.com/problems/invert-binary-tree/" TargetMode="External"/><Relationship Id="rId67" Type="http://schemas.openxmlformats.org/officeDocument/2006/relationships/hyperlink" Target="https://leetcode.com/problems/kth-largest-element-in-an-array/" TargetMode="External"/><Relationship Id="rId116" Type="http://schemas.openxmlformats.org/officeDocument/2006/relationships/hyperlink" Target="https://leetcode.com/problems/interleaving-string/" TargetMode="External"/><Relationship Id="rId137" Type="http://schemas.openxmlformats.org/officeDocument/2006/relationships/hyperlink" Target="https://leetcode.com/problems/spiral-matrix/" TargetMode="External"/><Relationship Id="rId20" Type="http://schemas.openxmlformats.org/officeDocument/2006/relationships/hyperlink" Target="https://leetcode.com/problems/sliding-window-maximum/" TargetMode="External"/><Relationship Id="rId41" Type="http://schemas.openxmlformats.org/officeDocument/2006/relationships/hyperlink" Target="https://leetcode.com/problems/linked-list-cycle/" TargetMode="External"/><Relationship Id="rId62" Type="http://schemas.openxmlformats.org/officeDocument/2006/relationships/hyperlink" Target="https://leetcode.com/problems/design-add-and-search-words-data-structure/" TargetMode="External"/><Relationship Id="rId83" Type="http://schemas.openxmlformats.org/officeDocument/2006/relationships/hyperlink" Target="https://leetcode.com/problems/walls-and-gates/" TargetMode="External"/><Relationship Id="rId88" Type="http://schemas.openxmlformats.org/officeDocument/2006/relationships/hyperlink" Target="https://leetcode.com/problems/course-schedule-ii/" TargetMode="External"/><Relationship Id="rId111" Type="http://schemas.openxmlformats.org/officeDocument/2006/relationships/hyperlink" Target="https://leetcode.com/problems/unique-paths/" TargetMode="External"/><Relationship Id="rId132" Type="http://schemas.openxmlformats.org/officeDocument/2006/relationships/hyperlink" Target="https://leetcode.com/problems/non-overlapping-intervals/" TargetMode="External"/><Relationship Id="rId15" Type="http://schemas.openxmlformats.org/officeDocument/2006/relationships/hyperlink" Target="https://leetcode.com/problems/best-time-to-buy-and-sell-stock/" TargetMode="External"/><Relationship Id="rId36" Type="http://schemas.openxmlformats.org/officeDocument/2006/relationships/hyperlink" Target="https://leetcode.com/problems/merge-two-sorted-lists/" TargetMode="External"/><Relationship Id="rId57" Type="http://schemas.openxmlformats.org/officeDocument/2006/relationships/hyperlink" Target="https://leetcode.com/problems/kth-smallest-element-in-a-bst/" TargetMode="External"/><Relationship Id="rId106" Type="http://schemas.openxmlformats.org/officeDocument/2006/relationships/hyperlink" Target="https://leetcode.com/problems/coin-change/" TargetMode="External"/><Relationship Id="rId127" Type="http://schemas.openxmlformats.org/officeDocument/2006/relationships/hyperlink" Target="https://leetcode.com/problems/merge-triplets-to-form-target-triplet/" TargetMode="External"/><Relationship Id="rId10" Type="http://schemas.openxmlformats.org/officeDocument/2006/relationships/hyperlink" Target="https://leetcode.com/problems/valid-palindrome/" TargetMode="External"/><Relationship Id="rId31" Type="http://schemas.openxmlformats.org/officeDocument/2006/relationships/hyperlink" Target="https://leetcode.com/problems/find-minimum-in-rotated-sorted-array/" TargetMode="External"/><Relationship Id="rId52" Type="http://schemas.openxmlformats.org/officeDocument/2006/relationships/hyperlink" Target="https://leetcode.com/problems/lowest-common-ancestor-of-a-binary-search-tree/" TargetMode="External"/><Relationship Id="rId73" Type="http://schemas.openxmlformats.org/officeDocument/2006/relationships/hyperlink" Target="https://leetcode.com/problems/permutations/" TargetMode="External"/><Relationship Id="rId78" Type="http://schemas.openxmlformats.org/officeDocument/2006/relationships/hyperlink" Target="https://leetcode.com/problems/letter-combinations-of-a-phone-number/" TargetMode="External"/><Relationship Id="rId94" Type="http://schemas.openxmlformats.org/officeDocument/2006/relationships/hyperlink" Target="https://leetcode.com/problems/min-cost-to-connect-all-points/" TargetMode="External"/><Relationship Id="rId99" Type="http://schemas.openxmlformats.org/officeDocument/2006/relationships/hyperlink" Target="https://leetcode.com/problems/climbing-stairs/" TargetMode="External"/><Relationship Id="rId101" Type="http://schemas.openxmlformats.org/officeDocument/2006/relationships/hyperlink" Target="https://leetcode.com/problems/house-robber/" TargetMode="External"/><Relationship Id="rId122" Type="http://schemas.openxmlformats.org/officeDocument/2006/relationships/hyperlink" Target="https://leetcode.com/problems/maximum-subarray/" TargetMode="External"/><Relationship Id="rId143" Type="http://schemas.openxmlformats.org/officeDocument/2006/relationships/hyperlink" Target="https://leetcode.com/problems/detect-squares/" TargetMode="External"/><Relationship Id="rId148" Type="http://schemas.openxmlformats.org/officeDocument/2006/relationships/hyperlink" Target="https://leetcode.com/problems/missing-number/" TargetMode="External"/><Relationship Id="rId4" Type="http://schemas.openxmlformats.org/officeDocument/2006/relationships/hyperlink" Target="https://leetcode.com/problems/group-anagrams/" TargetMode="External"/><Relationship Id="rId9" Type="http://schemas.openxmlformats.org/officeDocument/2006/relationships/hyperlink" Target="https://leetcode.com/problems/longest-consecutive-sequence/" TargetMode="External"/><Relationship Id="rId26" Type="http://schemas.openxmlformats.org/officeDocument/2006/relationships/hyperlink" Target="https://leetcode.com/problems/car-fleet/" TargetMode="External"/><Relationship Id="rId47" Type="http://schemas.openxmlformats.org/officeDocument/2006/relationships/hyperlink" Target="https://leetcode.com/problems/maximum-depth-of-binary-tree/" TargetMode="External"/><Relationship Id="rId68" Type="http://schemas.openxmlformats.org/officeDocument/2006/relationships/hyperlink" Target="https://leetcode.com/problems/task-scheduler/" TargetMode="External"/><Relationship Id="rId89" Type="http://schemas.openxmlformats.org/officeDocument/2006/relationships/hyperlink" Target="https://leetcode.com/problems/graph-valid-tree/" TargetMode="External"/><Relationship Id="rId112" Type="http://schemas.openxmlformats.org/officeDocument/2006/relationships/hyperlink" Target="https://leetcode.com/problems/longest-common-subsequence/" TargetMode="External"/><Relationship Id="rId133" Type="http://schemas.openxmlformats.org/officeDocument/2006/relationships/hyperlink" Target="https://leetcode.com/problems/meeting-rooms/" TargetMode="External"/><Relationship Id="rId16" Type="http://schemas.openxmlformats.org/officeDocument/2006/relationships/hyperlink" Target="https://leetcode.com/problems/longest-substring-without-repeating-characters/" TargetMode="External"/><Relationship Id="rId37" Type="http://schemas.openxmlformats.org/officeDocument/2006/relationships/hyperlink" Target="https://leetcode.com/problems/reorder-list/" TargetMode="External"/><Relationship Id="rId58" Type="http://schemas.openxmlformats.org/officeDocument/2006/relationships/hyperlink" Target="https://leetcode.com/problems/construct-binary-tree-from-preorder-and-inorder-traversal/" TargetMode="External"/><Relationship Id="rId79" Type="http://schemas.openxmlformats.org/officeDocument/2006/relationships/hyperlink" Target="https://leetcode.com/problems/n-queens/" TargetMode="External"/><Relationship Id="rId102" Type="http://schemas.openxmlformats.org/officeDocument/2006/relationships/hyperlink" Target="https://leetcode.com/problems/house-robber-ii/" TargetMode="External"/><Relationship Id="rId123" Type="http://schemas.openxmlformats.org/officeDocument/2006/relationships/hyperlink" Target="https://leetcode.com/problems/jump-game/" TargetMode="External"/><Relationship Id="rId144" Type="http://schemas.openxmlformats.org/officeDocument/2006/relationships/hyperlink" Target="https://leetcode.com/problems/single-number/" TargetMode="External"/><Relationship Id="rId90" Type="http://schemas.openxmlformats.org/officeDocument/2006/relationships/hyperlink" Target="https://leetcode.com/problems/number-of-connected-components-in-an-undirected-graph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flood-fill/" TargetMode="External"/><Relationship Id="rId21" Type="http://schemas.openxmlformats.org/officeDocument/2006/relationships/hyperlink" Target="https://leetcode.com/problems/search-insert-position/" TargetMode="External"/><Relationship Id="rId42" Type="http://schemas.openxmlformats.org/officeDocument/2006/relationships/hyperlink" Target="https://leetcode.com/problems/continuous-subarray-sum/" TargetMode="External"/><Relationship Id="rId63" Type="http://schemas.openxmlformats.org/officeDocument/2006/relationships/hyperlink" Target="https://leetcode.com/problems/top-k-frequent-words/" TargetMode="External"/><Relationship Id="rId84" Type="http://schemas.openxmlformats.org/officeDocument/2006/relationships/hyperlink" Target="https://leetcode.com/problems/copy-list-with-random-pointer/" TargetMode="External"/><Relationship Id="rId138" Type="http://schemas.openxmlformats.org/officeDocument/2006/relationships/hyperlink" Target="https://leetcode.com/problems/number-of-ways-to-arrive-at-destination/" TargetMode="External"/><Relationship Id="rId159" Type="http://schemas.openxmlformats.org/officeDocument/2006/relationships/hyperlink" Target="https://leetcode.com/problems/house-robber-ii/" TargetMode="External"/><Relationship Id="rId170" Type="http://schemas.openxmlformats.org/officeDocument/2006/relationships/hyperlink" Target="https://leetcode.com/problems/unique-paths-ii/" TargetMode="External"/><Relationship Id="rId107" Type="http://schemas.openxmlformats.org/officeDocument/2006/relationships/hyperlink" Target="https://leetcode.com/problems/subsets-ii/" TargetMode="External"/><Relationship Id="rId11" Type="http://schemas.openxmlformats.org/officeDocument/2006/relationships/hyperlink" Target="https://leetcode.com/problems/trapping-rain-water/" TargetMode="External"/><Relationship Id="rId32" Type="http://schemas.openxmlformats.org/officeDocument/2006/relationships/hyperlink" Target="https://leetcode.com/problems/group-anagrams/" TargetMode="External"/><Relationship Id="rId53" Type="http://schemas.openxmlformats.org/officeDocument/2006/relationships/hyperlink" Target="https://leetcode.com/problems/maximal-rectangle/" TargetMode="External"/><Relationship Id="rId74" Type="http://schemas.openxmlformats.org/officeDocument/2006/relationships/hyperlink" Target="https://leetcode.com/problems/jump-game/" TargetMode="External"/><Relationship Id="rId128" Type="http://schemas.openxmlformats.org/officeDocument/2006/relationships/hyperlink" Target="https://leetcode.com/problems/redundant-connection/" TargetMode="External"/><Relationship Id="rId149" Type="http://schemas.openxmlformats.org/officeDocument/2006/relationships/hyperlink" Target="https://leetcode.com/problems/map-sum-pairs/" TargetMode="External"/><Relationship Id="rId5" Type="http://schemas.openxmlformats.org/officeDocument/2006/relationships/hyperlink" Target="https://leetcode.com/problems/permutation-in-string/" TargetMode="External"/><Relationship Id="rId95" Type="http://schemas.openxmlformats.org/officeDocument/2006/relationships/hyperlink" Target="https://leetcode.com/problems/average-of-levels-in-binary-tree/" TargetMode="External"/><Relationship Id="rId160" Type="http://schemas.openxmlformats.org/officeDocument/2006/relationships/hyperlink" Target="https://leetcode.com/problems/coin-change/" TargetMode="External"/><Relationship Id="rId22" Type="http://schemas.openxmlformats.org/officeDocument/2006/relationships/hyperlink" Target="https://leetcode.com/problems/find-minimum-in-rotated-sorted-array/" TargetMode="External"/><Relationship Id="rId43" Type="http://schemas.openxmlformats.org/officeDocument/2006/relationships/hyperlink" Target="https://leetcode.com/problems/range-addition/" TargetMode="External"/><Relationship Id="rId64" Type="http://schemas.openxmlformats.org/officeDocument/2006/relationships/hyperlink" Target="https://leetcode.com/problems/kth-largest-element-in-a-stream/" TargetMode="External"/><Relationship Id="rId118" Type="http://schemas.openxmlformats.org/officeDocument/2006/relationships/hyperlink" Target="https://leetcode.com/problems/rotting-oranges/" TargetMode="External"/><Relationship Id="rId139" Type="http://schemas.openxmlformats.org/officeDocument/2006/relationships/hyperlink" Target="https://leetcode.com/problems/min-cost-to-connect-all-points/" TargetMode="External"/><Relationship Id="rId85" Type="http://schemas.openxmlformats.org/officeDocument/2006/relationships/hyperlink" Target="https://leetcode.com/problems/maximum-depth-of-binary-tree/" TargetMode="External"/><Relationship Id="rId150" Type="http://schemas.openxmlformats.org/officeDocument/2006/relationships/hyperlink" Target="https://leetcode.com/problems/search-suggestions-system/" TargetMode="External"/><Relationship Id="rId171" Type="http://schemas.openxmlformats.org/officeDocument/2006/relationships/hyperlink" Target="https://leetcode.com/problems/minimum-path-sum/" TargetMode="External"/><Relationship Id="rId12" Type="http://schemas.openxmlformats.org/officeDocument/2006/relationships/hyperlink" Target="https://leetcode.com/problems/two-sum-ii-input-array-is-sorted/" TargetMode="External"/><Relationship Id="rId33" Type="http://schemas.openxmlformats.org/officeDocument/2006/relationships/hyperlink" Target="https://leetcode.com/problems/longest-consecutive-sequence/" TargetMode="External"/><Relationship Id="rId108" Type="http://schemas.openxmlformats.org/officeDocument/2006/relationships/hyperlink" Target="https://leetcode.com/problems/combination-sum/" TargetMode="External"/><Relationship Id="rId129" Type="http://schemas.openxmlformats.org/officeDocument/2006/relationships/hyperlink" Target="https://leetcode.com/problems/number-of-operations-to-make-network-connected/" TargetMode="External"/><Relationship Id="rId54" Type="http://schemas.openxmlformats.org/officeDocument/2006/relationships/hyperlink" Target="https://leetcode.com/problems/online-stock-span/" TargetMode="External"/><Relationship Id="rId75" Type="http://schemas.openxmlformats.org/officeDocument/2006/relationships/hyperlink" Target="https://leetcode.com/problems/queue-reconstruction-by-height/" TargetMode="External"/><Relationship Id="rId96" Type="http://schemas.openxmlformats.org/officeDocument/2006/relationships/hyperlink" Target="https://leetcode.com/problems/populating-next-right-pointers-in-each-node/" TargetMode="External"/><Relationship Id="rId140" Type="http://schemas.openxmlformats.org/officeDocument/2006/relationships/hyperlink" Target="https://leetcode.com/problems/connecting-cities-with-minimum-cost/" TargetMode="External"/><Relationship Id="rId161" Type="http://schemas.openxmlformats.org/officeDocument/2006/relationships/hyperlink" Target="https://leetcode.com/problems/perfect-squares/" TargetMode="External"/><Relationship Id="rId6" Type="http://schemas.openxmlformats.org/officeDocument/2006/relationships/hyperlink" Target="https://leetcode.com/problems/fruit-into-baskets/" TargetMode="External"/><Relationship Id="rId23" Type="http://schemas.openxmlformats.org/officeDocument/2006/relationships/hyperlink" Target="https://leetcode.com/problems/find-peak-element/" TargetMode="External"/><Relationship Id="rId28" Type="http://schemas.openxmlformats.org/officeDocument/2006/relationships/hyperlink" Target="https://leetcode.com/problems/minimize-max-distance-to-gas-station/" TargetMode="External"/><Relationship Id="rId49" Type="http://schemas.openxmlformats.org/officeDocument/2006/relationships/hyperlink" Target="https://leetcode.com/problems/daily-temperatures/" TargetMode="External"/><Relationship Id="rId114" Type="http://schemas.openxmlformats.org/officeDocument/2006/relationships/hyperlink" Target="https://leetcode.com/problems/n-queens-ii/" TargetMode="External"/><Relationship Id="rId119" Type="http://schemas.openxmlformats.org/officeDocument/2006/relationships/hyperlink" Target="https://leetcode.com/problems/shortest-path-in-binary-matrix/" TargetMode="External"/><Relationship Id="rId44" Type="http://schemas.openxmlformats.org/officeDocument/2006/relationships/hyperlink" Target="https://leetcode.com/problems/car-pooling/" TargetMode="External"/><Relationship Id="rId60" Type="http://schemas.openxmlformats.org/officeDocument/2006/relationships/hyperlink" Target="https://leetcode.com/problems/jump-game-vi/" TargetMode="External"/><Relationship Id="rId65" Type="http://schemas.openxmlformats.org/officeDocument/2006/relationships/hyperlink" Target="https://leetcode.com/problems/k-closest-points-to-origin/" TargetMode="External"/><Relationship Id="rId81" Type="http://schemas.openxmlformats.org/officeDocument/2006/relationships/hyperlink" Target="https://leetcode.com/problems/swap-nodes-in-pairs/" TargetMode="External"/><Relationship Id="rId86" Type="http://schemas.openxmlformats.org/officeDocument/2006/relationships/hyperlink" Target="https://leetcode.com/problems/path-sum/" TargetMode="External"/><Relationship Id="rId130" Type="http://schemas.openxmlformats.org/officeDocument/2006/relationships/hyperlink" Target="https://leetcode.com/problems/remove-max-number-of-edges-to-keep-graph-fully-traversable/" TargetMode="External"/><Relationship Id="rId135" Type="http://schemas.openxmlformats.org/officeDocument/2006/relationships/hyperlink" Target="https://leetcode.com/problems/path-with-maximum-probability/" TargetMode="External"/><Relationship Id="rId151" Type="http://schemas.openxmlformats.org/officeDocument/2006/relationships/hyperlink" Target="https://leetcode.com/problems/single-number/" TargetMode="External"/><Relationship Id="rId156" Type="http://schemas.openxmlformats.org/officeDocument/2006/relationships/hyperlink" Target="https://leetcode.com/problems/reverse-bits/" TargetMode="External"/><Relationship Id="rId177" Type="http://schemas.openxmlformats.org/officeDocument/2006/relationships/hyperlink" Target="https://leetcode.com/problems/distinct-subsequences/" TargetMode="External"/><Relationship Id="rId172" Type="http://schemas.openxmlformats.org/officeDocument/2006/relationships/hyperlink" Target="https://leetcode.com/problems/maximal-square/" TargetMode="External"/><Relationship Id="rId13" Type="http://schemas.openxmlformats.org/officeDocument/2006/relationships/hyperlink" Target="https://leetcode.com/problems/linked-list-cycle/" TargetMode="External"/><Relationship Id="rId18" Type="http://schemas.openxmlformats.org/officeDocument/2006/relationships/hyperlink" Target="https://leetcode.com/problems/palindrome-linked-list/" TargetMode="External"/><Relationship Id="rId39" Type="http://schemas.openxmlformats.org/officeDocument/2006/relationships/hyperlink" Target="https://leetcode.com/problems/find-pivot-index/" TargetMode="External"/><Relationship Id="rId109" Type="http://schemas.openxmlformats.org/officeDocument/2006/relationships/hyperlink" Target="https://leetcode.com/problems/combination-sum-ii/" TargetMode="External"/><Relationship Id="rId34" Type="http://schemas.openxmlformats.org/officeDocument/2006/relationships/hyperlink" Target="https://leetcode.com/problems/contains-duplicate/" TargetMode="External"/><Relationship Id="rId50" Type="http://schemas.openxmlformats.org/officeDocument/2006/relationships/hyperlink" Target="https://leetcode.com/problems/next-greater-element-i/" TargetMode="External"/><Relationship Id="rId55" Type="http://schemas.openxmlformats.org/officeDocument/2006/relationships/hyperlink" Target="https://leetcode.com/problems/sliding-window-maximum/" TargetMode="External"/><Relationship Id="rId76" Type="http://schemas.openxmlformats.org/officeDocument/2006/relationships/hyperlink" Target="https://leetcode.com/problems/task-scheduler/" TargetMode="External"/><Relationship Id="rId97" Type="http://schemas.openxmlformats.org/officeDocument/2006/relationships/hyperlink" Target="https://leetcode.com/problems/validate-binary-search-tree/" TargetMode="External"/><Relationship Id="rId104" Type="http://schemas.openxmlformats.org/officeDocument/2006/relationships/hyperlink" Target="https://leetcode.com/problems/permutations-ii/" TargetMode="External"/><Relationship Id="rId120" Type="http://schemas.openxmlformats.org/officeDocument/2006/relationships/hyperlink" Target="https://leetcode.com/problems/number-of-closed-islands/" TargetMode="External"/><Relationship Id="rId125" Type="http://schemas.openxmlformats.org/officeDocument/2006/relationships/hyperlink" Target="https://leetcode.com/problems/sort-items-by-groups-respecting-dependencies/" TargetMode="External"/><Relationship Id="rId141" Type="http://schemas.openxmlformats.org/officeDocument/2006/relationships/hyperlink" Target="https://leetcode.com/problems/optimize-water-distribution-in-a-village/" TargetMode="External"/><Relationship Id="rId146" Type="http://schemas.openxmlformats.org/officeDocument/2006/relationships/hyperlink" Target="https://leetcode.com/problems/design-add-and-search-words-data-structure/" TargetMode="External"/><Relationship Id="rId167" Type="http://schemas.openxmlformats.org/officeDocument/2006/relationships/hyperlink" Target="https://leetcode.com/problems/last-stone-weight-ii/" TargetMode="External"/><Relationship Id="rId7" Type="http://schemas.openxmlformats.org/officeDocument/2006/relationships/hyperlink" Target="https://leetcode.com/problems/container-with-most-water/" TargetMode="External"/><Relationship Id="rId71" Type="http://schemas.openxmlformats.org/officeDocument/2006/relationships/hyperlink" Target="https://leetcode.com/problems/non-overlapping-intervals/" TargetMode="External"/><Relationship Id="rId92" Type="http://schemas.openxmlformats.org/officeDocument/2006/relationships/hyperlink" Target="https://leetcode.com/problems/binary-tree-zigzag-level-order-traversal/" TargetMode="External"/><Relationship Id="rId162" Type="http://schemas.openxmlformats.org/officeDocument/2006/relationships/hyperlink" Target="https://leetcode.com/problems/longest-increasing-subsequence/" TargetMode="External"/><Relationship Id="rId2" Type="http://schemas.openxmlformats.org/officeDocument/2006/relationships/hyperlink" Target="https://leetcode.com/problems/minimum-window-substring/" TargetMode="External"/><Relationship Id="rId29" Type="http://schemas.openxmlformats.org/officeDocument/2006/relationships/hyperlink" Target="https://leetcode.com/problems/find-the-smallest-divisor-given-a-threshold/" TargetMode="External"/><Relationship Id="rId24" Type="http://schemas.openxmlformats.org/officeDocument/2006/relationships/hyperlink" Target="https://leetcode.com/problems/binary-search/" TargetMode="External"/><Relationship Id="rId40" Type="http://schemas.openxmlformats.org/officeDocument/2006/relationships/hyperlink" Target="https://leetcode.com/problems/binary-subarrays-with-sum/" TargetMode="External"/><Relationship Id="rId45" Type="http://schemas.openxmlformats.org/officeDocument/2006/relationships/hyperlink" Target="https://leetcode.com/problems/corporate-flight-bookings/" TargetMode="External"/><Relationship Id="rId66" Type="http://schemas.openxmlformats.org/officeDocument/2006/relationships/hyperlink" Target="https://leetcode.com/problems/last-stone-weight/" TargetMode="External"/><Relationship Id="rId87" Type="http://schemas.openxmlformats.org/officeDocument/2006/relationships/hyperlink" Target="https://leetcode.com/problems/path-sum-ii/" TargetMode="External"/><Relationship Id="rId110" Type="http://schemas.openxmlformats.org/officeDocument/2006/relationships/hyperlink" Target="https://leetcode.com/problems/letter-combinations-of-a-phone-number/" TargetMode="External"/><Relationship Id="rId115" Type="http://schemas.openxmlformats.org/officeDocument/2006/relationships/hyperlink" Target="https://leetcode.com/problems/number-of-islands/" TargetMode="External"/><Relationship Id="rId131" Type="http://schemas.openxmlformats.org/officeDocument/2006/relationships/hyperlink" Target="https://leetcode.com/problems/satisfiability-of-equality-equations/" TargetMode="External"/><Relationship Id="rId136" Type="http://schemas.openxmlformats.org/officeDocument/2006/relationships/hyperlink" Target="https://leetcode.com/problems/path-with-minimum-effort/" TargetMode="External"/><Relationship Id="rId157" Type="http://schemas.openxmlformats.org/officeDocument/2006/relationships/hyperlink" Target="https://leetcode.com/problems/climbing-stairs/" TargetMode="External"/><Relationship Id="rId178" Type="http://schemas.openxmlformats.org/officeDocument/2006/relationships/hyperlink" Target="https://leetcode.com/problems/delete-operation-for-two-strings/" TargetMode="External"/><Relationship Id="rId61" Type="http://schemas.openxmlformats.org/officeDocument/2006/relationships/hyperlink" Target="https://leetcode.com/problems/kth-largest-element-in-an-array/" TargetMode="External"/><Relationship Id="rId82" Type="http://schemas.openxmlformats.org/officeDocument/2006/relationships/hyperlink" Target="https://leetcode.com/problems/reverse-nodes-in-k-group/" TargetMode="External"/><Relationship Id="rId152" Type="http://schemas.openxmlformats.org/officeDocument/2006/relationships/hyperlink" Target="https://leetcode.com/problems/single-number-ii/" TargetMode="External"/><Relationship Id="rId173" Type="http://schemas.openxmlformats.org/officeDocument/2006/relationships/hyperlink" Target="https://leetcode.com/problems/minimum-falling-path-sum/" TargetMode="External"/><Relationship Id="rId19" Type="http://schemas.openxmlformats.org/officeDocument/2006/relationships/hyperlink" Target="https://leetcode.com/problems/search-in-rotated-sorted-array/" TargetMode="External"/><Relationship Id="rId14" Type="http://schemas.openxmlformats.org/officeDocument/2006/relationships/hyperlink" Target="https://leetcode.com/problems/linked-list-cycle-ii/" TargetMode="External"/><Relationship Id="rId30" Type="http://schemas.openxmlformats.org/officeDocument/2006/relationships/hyperlink" Target="https://leetcode.com/problems/minimum-number-of-days-to-make-m-bouquets/" TargetMode="External"/><Relationship Id="rId35" Type="http://schemas.openxmlformats.org/officeDocument/2006/relationships/hyperlink" Target="https://leetcode.com/problems/valid-anagram/" TargetMode="External"/><Relationship Id="rId56" Type="http://schemas.openxmlformats.org/officeDocument/2006/relationships/hyperlink" Target="https://leetcode.com/problems/shortest-subarray-with-sum-at-least-k/" TargetMode="External"/><Relationship Id="rId77" Type="http://schemas.openxmlformats.org/officeDocument/2006/relationships/hyperlink" Target="https://leetcode.com/problems/partition-labels/" TargetMode="External"/><Relationship Id="rId100" Type="http://schemas.openxmlformats.org/officeDocument/2006/relationships/hyperlink" Target="https://leetcode.com/problems/lowest-common-ancestor-of-a-binary-search-tree/" TargetMode="External"/><Relationship Id="rId105" Type="http://schemas.openxmlformats.org/officeDocument/2006/relationships/hyperlink" Target="https://leetcode.com/problems/combinations/" TargetMode="External"/><Relationship Id="rId126" Type="http://schemas.openxmlformats.org/officeDocument/2006/relationships/hyperlink" Target="https://leetcode.com/problems/find-all-possible-recipes-from-given-supplies/" TargetMode="External"/><Relationship Id="rId147" Type="http://schemas.openxmlformats.org/officeDocument/2006/relationships/hyperlink" Target="https://leetcode.com/problems/word-search-ii/" TargetMode="External"/><Relationship Id="rId168" Type="http://schemas.openxmlformats.org/officeDocument/2006/relationships/hyperlink" Target="https://leetcode.com/problems/profitable-schemes/" TargetMode="External"/><Relationship Id="rId8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next-greater-element-ii/" TargetMode="External"/><Relationship Id="rId72" Type="http://schemas.openxmlformats.org/officeDocument/2006/relationships/hyperlink" Target="https://leetcode.com/problems/minimum-number-of-arrows-to-burst-balloons/" TargetMode="External"/><Relationship Id="rId93" Type="http://schemas.openxmlformats.org/officeDocument/2006/relationships/hyperlink" Target="https://leetcode.com/problems/binary-tree-right-side-view/" TargetMode="External"/><Relationship Id="rId98" Type="http://schemas.openxmlformats.org/officeDocument/2006/relationships/hyperlink" Target="https://leetcode.com/problems/recover-binary-search-tree/" TargetMode="External"/><Relationship Id="rId121" Type="http://schemas.openxmlformats.org/officeDocument/2006/relationships/hyperlink" Target="https://leetcode.com/problems/course-schedule/" TargetMode="External"/><Relationship Id="rId142" Type="http://schemas.openxmlformats.org/officeDocument/2006/relationships/hyperlink" Target="https://leetcode.com/problems/find-critical-and-pseudo-critical-edges-in-minimum-spanning-tree/" TargetMode="External"/><Relationship Id="rId163" Type="http://schemas.openxmlformats.org/officeDocument/2006/relationships/hyperlink" Target="https://leetcode.com/problems/partition-equal-subset-sum/" TargetMode="External"/><Relationship Id="rId3" Type="http://schemas.openxmlformats.org/officeDocument/2006/relationships/hyperlink" Target="https://leetcode.com/problems/minimum-size-subarray-sum/" TargetMode="External"/><Relationship Id="rId25" Type="http://schemas.openxmlformats.org/officeDocument/2006/relationships/hyperlink" Target="https://leetcode.com/problems/koko-eating-bananas/" TargetMode="External"/><Relationship Id="rId46" Type="http://schemas.openxmlformats.org/officeDocument/2006/relationships/hyperlink" Target="https://leetcode.com/problems/check-if-all-the-integers-in-a-range-are-covered/" TargetMode="External"/><Relationship Id="rId67" Type="http://schemas.openxmlformats.org/officeDocument/2006/relationships/hyperlink" Target="https://leetcode.com/problems/merge-intervals/" TargetMode="External"/><Relationship Id="rId116" Type="http://schemas.openxmlformats.org/officeDocument/2006/relationships/hyperlink" Target="https://leetcode.com/problems/max-area-of-island/" TargetMode="External"/><Relationship Id="rId137" Type="http://schemas.openxmlformats.org/officeDocument/2006/relationships/hyperlink" Target="https://leetcode.com/problems/find-the-city-with-the-smallest-number-of-neighbors-at-a-threshold-distance/" TargetMode="External"/><Relationship Id="rId158" Type="http://schemas.openxmlformats.org/officeDocument/2006/relationships/hyperlink" Target="https://leetcode.com/problems/house-robber/" TargetMode="External"/><Relationship Id="rId20" Type="http://schemas.openxmlformats.org/officeDocument/2006/relationships/hyperlink" Target="https://leetcode.com/problems/find-first-and-last-position-of-element-in-sorted-array/" TargetMode="External"/><Relationship Id="rId41" Type="http://schemas.openxmlformats.org/officeDocument/2006/relationships/hyperlink" Target="https://leetcode.com/problems/subarray-sums-divisible-by-k/" TargetMode="External"/><Relationship Id="rId62" Type="http://schemas.openxmlformats.org/officeDocument/2006/relationships/hyperlink" Target="https://leetcode.com/problems/top-k-frequent-elements/" TargetMode="External"/><Relationship Id="rId83" Type="http://schemas.openxmlformats.org/officeDocument/2006/relationships/hyperlink" Target="https://leetcode.com/problems/reverse-linked-list-ii/" TargetMode="External"/><Relationship Id="rId88" Type="http://schemas.openxmlformats.org/officeDocument/2006/relationships/hyperlink" Target="https://leetcode.com/problems/diameter-of-binary-tree/" TargetMode="External"/><Relationship Id="rId111" Type="http://schemas.openxmlformats.org/officeDocument/2006/relationships/hyperlink" Target="https://leetcode.com/problems/word-search/" TargetMode="External"/><Relationship Id="rId132" Type="http://schemas.openxmlformats.org/officeDocument/2006/relationships/hyperlink" Target="https://leetcode.com/problems/smallest-string-with-swaps/" TargetMode="External"/><Relationship Id="rId153" Type="http://schemas.openxmlformats.org/officeDocument/2006/relationships/hyperlink" Target="https://leetcode.com/problems/number-of-1-bits/" TargetMode="External"/><Relationship Id="rId174" Type="http://schemas.openxmlformats.org/officeDocument/2006/relationships/hyperlink" Target="https://leetcode.com/problems/triangle/" TargetMode="External"/><Relationship Id="rId179" Type="http://schemas.openxmlformats.org/officeDocument/2006/relationships/hyperlink" Target="https://leetcode.com/problems/interleaving-string/" TargetMode="External"/><Relationship Id="rId15" Type="http://schemas.openxmlformats.org/officeDocument/2006/relationships/hyperlink" Target="https://leetcode.com/problems/remove-nth-node-from-end-of-list/" TargetMode="External"/><Relationship Id="rId36" Type="http://schemas.openxmlformats.org/officeDocument/2006/relationships/hyperlink" Target="https://leetcode.com/problems/top-k-frequent-elements/" TargetMode="External"/><Relationship Id="rId57" Type="http://schemas.openxmlformats.org/officeDocument/2006/relationships/hyperlink" Target="https://leetcode.com/problems/constrained-subsequence-sum/" TargetMode="External"/><Relationship Id="rId106" Type="http://schemas.openxmlformats.org/officeDocument/2006/relationships/hyperlink" Target="https://leetcode.com/problems/subsets/" TargetMode="External"/><Relationship Id="rId127" Type="http://schemas.openxmlformats.org/officeDocument/2006/relationships/hyperlink" Target="https://leetcode.com/problems/number-of-provinces/" TargetMode="External"/><Relationship Id="rId10" Type="http://schemas.openxmlformats.org/officeDocument/2006/relationships/hyperlink" Target="https://leetcode.com/problems/4sum/" TargetMode="External"/><Relationship Id="rId31" Type="http://schemas.openxmlformats.org/officeDocument/2006/relationships/hyperlink" Target="https://leetcode.com/problems/two-sum/" TargetMode="External"/><Relationship Id="rId52" Type="http://schemas.openxmlformats.org/officeDocument/2006/relationships/hyperlink" Target="https://leetcode.com/problems/largest-rectangle-in-histogram/" TargetMode="External"/><Relationship Id="rId73" Type="http://schemas.openxmlformats.org/officeDocument/2006/relationships/hyperlink" Target="https://leetcode.com/problems/jump-game-ii/" TargetMode="External"/><Relationship Id="rId78" Type="http://schemas.openxmlformats.org/officeDocument/2006/relationships/hyperlink" Target="https://leetcode.com/problems/gas-station/" TargetMode="External"/><Relationship Id="rId94" Type="http://schemas.openxmlformats.org/officeDocument/2006/relationships/hyperlink" Target="https://leetcode.com/problems/find-largest-value-in-each-tree-row/" TargetMode="External"/><Relationship Id="rId99" Type="http://schemas.openxmlformats.org/officeDocument/2006/relationships/hyperlink" Target="https://leetcode.com/problems/kth-smallest-element-in-a-bst/" TargetMode="External"/><Relationship Id="rId101" Type="http://schemas.openxmlformats.org/officeDocument/2006/relationships/hyperlink" Target="https://leetcode.com/problems/delete-node-in-a-bst/" TargetMode="External"/><Relationship Id="rId122" Type="http://schemas.openxmlformats.org/officeDocument/2006/relationships/hyperlink" Target="https://leetcode.com/problems/course-schedule-ii/" TargetMode="External"/><Relationship Id="rId143" Type="http://schemas.openxmlformats.org/officeDocument/2006/relationships/hyperlink" Target="https://leetcode.com/problems/swim-in-rising-water/" TargetMode="External"/><Relationship Id="rId148" Type="http://schemas.openxmlformats.org/officeDocument/2006/relationships/hyperlink" Target="https://leetcode.com/problems/replace-words/" TargetMode="External"/><Relationship Id="rId164" Type="http://schemas.openxmlformats.org/officeDocument/2006/relationships/hyperlink" Target="https://leetcode.com/problems/target-sum/" TargetMode="External"/><Relationship Id="rId169" Type="http://schemas.openxmlformats.org/officeDocument/2006/relationships/hyperlink" Target="https://leetcode.com/problems/unique-paths/" TargetMode="External"/><Relationship Id="rId4" Type="http://schemas.openxmlformats.org/officeDocument/2006/relationships/hyperlink" Target="https://leetcode.com/problems/longest-repeating-character-replacement/" TargetMode="External"/><Relationship Id="rId9" Type="http://schemas.openxmlformats.org/officeDocument/2006/relationships/hyperlink" Target="https://leetcode.com/problems/3sum-closest/" TargetMode="External"/><Relationship Id="rId180" Type="http://schemas.openxmlformats.org/officeDocument/2006/relationships/hyperlink" Target="https://leetcode.com/problems/minimum-insertion-steps-to-make-a-string-palindrome/" TargetMode="External"/><Relationship Id="rId26" Type="http://schemas.openxmlformats.org/officeDocument/2006/relationships/hyperlink" Target="https://leetcode.com/problems/capacity-to-ship-packages-within-d-days/" TargetMode="External"/><Relationship Id="rId47" Type="http://schemas.openxmlformats.org/officeDocument/2006/relationships/hyperlink" Target="https://leetcode.com/problems/describe-the-painting/" TargetMode="External"/><Relationship Id="rId68" Type="http://schemas.openxmlformats.org/officeDocument/2006/relationships/hyperlink" Target="https://leetcode.com/problems/insert-interval/" TargetMode="External"/><Relationship Id="rId89" Type="http://schemas.openxmlformats.org/officeDocument/2006/relationships/hyperlink" Target="https://leetcode.com/problems/binary-tree-maximum-path-sum/" TargetMode="External"/><Relationship Id="rId112" Type="http://schemas.openxmlformats.org/officeDocument/2006/relationships/hyperlink" Target="https://leetcode.com/problems/palindrome-partitioning/" TargetMode="External"/><Relationship Id="rId133" Type="http://schemas.openxmlformats.org/officeDocument/2006/relationships/hyperlink" Target="https://leetcode.com/problems/network-delay-time/" TargetMode="External"/><Relationship Id="rId154" Type="http://schemas.openxmlformats.org/officeDocument/2006/relationships/hyperlink" Target="https://leetcode.com/problems/counting-bits/" TargetMode="External"/><Relationship Id="rId175" Type="http://schemas.openxmlformats.org/officeDocument/2006/relationships/hyperlink" Target="https://leetcode.com/problems/longest-common-subsequence/" TargetMode="External"/><Relationship Id="rId16" Type="http://schemas.openxmlformats.org/officeDocument/2006/relationships/hyperlink" Target="https://leetcode.com/problems/middle-of-the-linked-list/" TargetMode="External"/><Relationship Id="rId37" Type="http://schemas.openxmlformats.org/officeDocument/2006/relationships/hyperlink" Target="https://leetcode.com/problems/range-sum-query-immutable/" TargetMode="External"/><Relationship Id="rId58" Type="http://schemas.openxmlformats.org/officeDocument/2006/relationships/hyperlink" Target="https://leetcode.com/problems/longest-continuous-subarray-with-absolute-diff-less-than-or-equal-to-limit/" TargetMode="External"/><Relationship Id="rId79" Type="http://schemas.openxmlformats.org/officeDocument/2006/relationships/hyperlink" Target="https://leetcode.com/problems/merge-two-sorted-lists/" TargetMode="External"/><Relationship Id="rId102" Type="http://schemas.openxmlformats.org/officeDocument/2006/relationships/hyperlink" Target="https://leetcode.com/problems/search-in-a-binary-search-tree/" TargetMode="External"/><Relationship Id="rId123" Type="http://schemas.openxmlformats.org/officeDocument/2006/relationships/hyperlink" Target="https://leetcode.com/problems/find-eventual-safe-states/" TargetMode="External"/><Relationship Id="rId144" Type="http://schemas.openxmlformats.org/officeDocument/2006/relationships/hyperlink" Target="https://leetcode.com/problems/path-with-maximum-minimum-value/" TargetMode="External"/><Relationship Id="rId90" Type="http://schemas.openxmlformats.org/officeDocument/2006/relationships/hyperlink" Target="https://leetcode.com/problems/invert-binary-tree/" TargetMode="External"/><Relationship Id="rId165" Type="http://schemas.openxmlformats.org/officeDocument/2006/relationships/hyperlink" Target="https://leetcode.com/problems/coin-change-ii/" TargetMode="External"/><Relationship Id="rId27" Type="http://schemas.openxmlformats.org/officeDocument/2006/relationships/hyperlink" Target="https://leetcode.com/problems/split-array-largest-sum/" TargetMode="External"/><Relationship Id="rId48" Type="http://schemas.openxmlformats.org/officeDocument/2006/relationships/hyperlink" Target="https://leetcode.com/problems/shifting-letters-ii/" TargetMode="External"/><Relationship Id="rId69" Type="http://schemas.openxmlformats.org/officeDocument/2006/relationships/hyperlink" Target="https://leetcode.com/problems/meeting-rooms/" TargetMode="External"/><Relationship Id="rId113" Type="http://schemas.openxmlformats.org/officeDocument/2006/relationships/hyperlink" Target="https://leetcode.com/problems/n-queens/" TargetMode="External"/><Relationship Id="rId134" Type="http://schemas.openxmlformats.org/officeDocument/2006/relationships/hyperlink" Target="https://leetcode.com/problems/cheapest-flights-within-k-stops/" TargetMode="External"/><Relationship Id="rId80" Type="http://schemas.openxmlformats.org/officeDocument/2006/relationships/hyperlink" Target="https://leetcode.com/problems/merge-k-sorted-lists/" TargetMode="External"/><Relationship Id="rId155" Type="http://schemas.openxmlformats.org/officeDocument/2006/relationships/hyperlink" Target="https://leetcode.com/problems/missing-number/" TargetMode="External"/><Relationship Id="rId176" Type="http://schemas.openxmlformats.org/officeDocument/2006/relationships/hyperlink" Target="https://leetcode.com/problems/edit-distance/" TargetMode="External"/><Relationship Id="rId17" Type="http://schemas.openxmlformats.org/officeDocument/2006/relationships/hyperlink" Target="https://leetcode.com/problems/intersection-of-two-linked-lists/" TargetMode="External"/><Relationship Id="rId38" Type="http://schemas.openxmlformats.org/officeDocument/2006/relationships/hyperlink" Target="https://leetcode.com/problems/subarray-sum-equals-k/" TargetMode="External"/><Relationship Id="rId59" Type="http://schemas.openxmlformats.org/officeDocument/2006/relationships/hyperlink" Target="https://leetcode.com/problems/max-value-of-equation/" TargetMode="External"/><Relationship Id="rId103" Type="http://schemas.openxmlformats.org/officeDocument/2006/relationships/hyperlink" Target="https://leetcode.com/problems/permutations/" TargetMode="External"/><Relationship Id="rId124" Type="http://schemas.openxmlformats.org/officeDocument/2006/relationships/hyperlink" Target="https://leetcode.com/problems/course-schedule-iv/" TargetMode="External"/><Relationship Id="rId70" Type="http://schemas.openxmlformats.org/officeDocument/2006/relationships/hyperlink" Target="https://leetcode.com/problems/meeting-rooms-ii/" TargetMode="External"/><Relationship Id="rId91" Type="http://schemas.openxmlformats.org/officeDocument/2006/relationships/hyperlink" Target="https://leetcode.com/problems/binary-tree-level-order-traversal/" TargetMode="External"/><Relationship Id="rId145" Type="http://schemas.openxmlformats.org/officeDocument/2006/relationships/hyperlink" Target="https://leetcode.com/problems/implement-trie-prefix-tree/" TargetMode="External"/><Relationship Id="rId166" Type="http://schemas.openxmlformats.org/officeDocument/2006/relationships/hyperlink" Target="https://leetcode.com/problems/ones-and-zeroes/" TargetMode="External"/><Relationship Id="rId1" Type="http://schemas.openxmlformats.org/officeDocument/2006/relationships/hyperlink" Target="https://leetcode.com/problems/longest-substring-without-repeating-charact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zoomScaleNormal="100" workbookViewId="0">
      <pane ySplit="1" topLeftCell="A2" activePane="bottomLeft" state="frozen"/>
      <selection pane="bottomLeft" activeCell="C6" sqref="C6"/>
    </sheetView>
  </sheetViews>
  <sheetFormatPr defaultColWidth="8.6328125" defaultRowHeight="14.5" x14ac:dyDescent="0.35"/>
  <cols>
    <col min="1" max="1" width="5" customWidth="1"/>
    <col min="2" max="2" width="26" customWidth="1"/>
    <col min="3" max="3" width="56" customWidth="1"/>
    <col min="4" max="4" width="11" customWidth="1"/>
    <col min="5" max="5" width="70" customWidth="1"/>
    <col min="6" max="6" width="12" customWidth="1"/>
    <col min="7" max="7" width="30" customWidth="1"/>
  </cols>
  <sheetData>
    <row r="1" spans="1:7" ht="21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5">
      <c r="A2" s="2">
        <v>1</v>
      </c>
      <c r="B2" s="2" t="s">
        <v>7</v>
      </c>
      <c r="C2" s="13" t="s">
        <v>8</v>
      </c>
      <c r="D2" s="3" t="s">
        <v>9</v>
      </c>
      <c r="E2" s="4" t="s">
        <v>10</v>
      </c>
      <c r="F2" s="2"/>
      <c r="G2" s="2"/>
    </row>
    <row r="3" spans="1:7" ht="15" customHeight="1" x14ac:dyDescent="0.35">
      <c r="A3" s="2">
        <v>2</v>
      </c>
      <c r="B3" s="2" t="s">
        <v>7</v>
      </c>
      <c r="C3" s="2" t="s">
        <v>11</v>
      </c>
      <c r="D3" s="3" t="s">
        <v>9</v>
      </c>
      <c r="E3" s="4" t="s">
        <v>12</v>
      </c>
      <c r="F3" s="2"/>
      <c r="G3" s="2"/>
    </row>
    <row r="4" spans="1:7" ht="15" customHeight="1" x14ac:dyDescent="0.35">
      <c r="A4" s="2">
        <v>3</v>
      </c>
      <c r="B4" s="2" t="s">
        <v>7</v>
      </c>
      <c r="C4" s="2" t="s">
        <v>13</v>
      </c>
      <c r="D4" s="3" t="s">
        <v>9</v>
      </c>
      <c r="E4" s="4" t="s">
        <v>14</v>
      </c>
      <c r="F4" s="2"/>
      <c r="G4" s="2"/>
    </row>
    <row r="5" spans="1:7" ht="15" customHeight="1" x14ac:dyDescent="0.35">
      <c r="A5" s="2">
        <v>4</v>
      </c>
      <c r="B5" s="2" t="s">
        <v>7</v>
      </c>
      <c r="C5" s="2" t="s">
        <v>15</v>
      </c>
      <c r="D5" s="5" t="s">
        <v>16</v>
      </c>
      <c r="E5" s="4" t="s">
        <v>17</v>
      </c>
      <c r="F5" s="2"/>
      <c r="G5" s="2"/>
    </row>
    <row r="6" spans="1:7" ht="15" customHeight="1" x14ac:dyDescent="0.35">
      <c r="A6" s="2">
        <v>5</v>
      </c>
      <c r="B6" s="2" t="s">
        <v>7</v>
      </c>
      <c r="C6" s="2" t="s">
        <v>18</v>
      </c>
      <c r="D6" s="5" t="s">
        <v>16</v>
      </c>
      <c r="E6" s="4" t="s">
        <v>19</v>
      </c>
      <c r="F6" s="2"/>
      <c r="G6" s="2"/>
    </row>
    <row r="7" spans="1:7" ht="15" customHeight="1" x14ac:dyDescent="0.35">
      <c r="A7" s="2">
        <v>6</v>
      </c>
      <c r="B7" s="2" t="s">
        <v>7</v>
      </c>
      <c r="C7" s="2" t="s">
        <v>20</v>
      </c>
      <c r="D7" s="5" t="s">
        <v>16</v>
      </c>
      <c r="E7" s="4" t="s">
        <v>21</v>
      </c>
      <c r="F7" s="2"/>
      <c r="G7" s="2"/>
    </row>
    <row r="8" spans="1:7" ht="15" customHeight="1" x14ac:dyDescent="0.35">
      <c r="A8" s="2">
        <v>7</v>
      </c>
      <c r="B8" s="2" t="s">
        <v>7</v>
      </c>
      <c r="C8" s="2" t="s">
        <v>22</v>
      </c>
      <c r="D8" s="5" t="s">
        <v>16</v>
      </c>
      <c r="E8" s="4" t="s">
        <v>23</v>
      </c>
      <c r="F8" s="2"/>
      <c r="G8" s="2"/>
    </row>
    <row r="9" spans="1:7" ht="15" customHeight="1" x14ac:dyDescent="0.35">
      <c r="A9" s="2">
        <v>8</v>
      </c>
      <c r="B9" s="2" t="s">
        <v>7</v>
      </c>
      <c r="C9" s="2" t="s">
        <v>24</v>
      </c>
      <c r="D9" s="5" t="s">
        <v>16</v>
      </c>
      <c r="E9" s="4" t="s">
        <v>25</v>
      </c>
      <c r="F9" s="2"/>
      <c r="G9" s="2"/>
    </row>
    <row r="10" spans="1:7" ht="15" customHeight="1" x14ac:dyDescent="0.35">
      <c r="A10" s="2">
        <v>9</v>
      </c>
      <c r="B10" s="2" t="s">
        <v>7</v>
      </c>
      <c r="C10" s="2" t="s">
        <v>26</v>
      </c>
      <c r="D10" s="5" t="s">
        <v>16</v>
      </c>
      <c r="E10" s="4" t="s">
        <v>27</v>
      </c>
      <c r="F10" s="2"/>
      <c r="G10" s="2"/>
    </row>
    <row r="11" spans="1:7" ht="15" customHeight="1" x14ac:dyDescent="0.35">
      <c r="A11" s="2">
        <v>10</v>
      </c>
      <c r="B11" s="2" t="s">
        <v>28</v>
      </c>
      <c r="C11" s="2" t="s">
        <v>29</v>
      </c>
      <c r="D11" s="3" t="s">
        <v>9</v>
      </c>
      <c r="E11" s="4" t="s">
        <v>30</v>
      </c>
      <c r="F11" s="2"/>
      <c r="G11" s="2"/>
    </row>
    <row r="12" spans="1:7" ht="15" customHeight="1" x14ac:dyDescent="0.35">
      <c r="A12" s="2">
        <v>11</v>
      </c>
      <c r="B12" s="2" t="s">
        <v>28</v>
      </c>
      <c r="C12" s="2" t="s">
        <v>31</v>
      </c>
      <c r="D12" s="5" t="s">
        <v>16</v>
      </c>
      <c r="E12" s="4" t="s">
        <v>32</v>
      </c>
      <c r="F12" s="2"/>
      <c r="G12" s="2"/>
    </row>
    <row r="13" spans="1:7" ht="15" customHeight="1" x14ac:dyDescent="0.35">
      <c r="A13" s="2">
        <v>12</v>
      </c>
      <c r="B13" s="2" t="s">
        <v>28</v>
      </c>
      <c r="C13" s="2" t="s">
        <v>33</v>
      </c>
      <c r="D13" s="5" t="s">
        <v>16</v>
      </c>
      <c r="E13" s="4" t="s">
        <v>34</v>
      </c>
      <c r="F13" s="2"/>
      <c r="G13" s="2"/>
    </row>
    <row r="14" spans="1:7" ht="15" customHeight="1" x14ac:dyDescent="0.35">
      <c r="A14" s="2">
        <v>13</v>
      </c>
      <c r="B14" s="2" t="s">
        <v>28</v>
      </c>
      <c r="C14" s="2" t="s">
        <v>35</v>
      </c>
      <c r="D14" s="5" t="s">
        <v>16</v>
      </c>
      <c r="E14" s="4" t="s">
        <v>36</v>
      </c>
      <c r="F14" s="2"/>
      <c r="G14" s="2"/>
    </row>
    <row r="15" spans="1:7" ht="15" customHeight="1" x14ac:dyDescent="0.35">
      <c r="A15" s="2">
        <v>14</v>
      </c>
      <c r="B15" s="2" t="s">
        <v>28</v>
      </c>
      <c r="C15" s="2" t="s">
        <v>37</v>
      </c>
      <c r="D15" s="6" t="s">
        <v>38</v>
      </c>
      <c r="E15" s="4" t="s">
        <v>39</v>
      </c>
      <c r="F15" s="2"/>
      <c r="G15" s="2"/>
    </row>
    <row r="16" spans="1:7" ht="15" customHeight="1" x14ac:dyDescent="0.35">
      <c r="A16" s="2">
        <v>15</v>
      </c>
      <c r="B16" s="2" t="s">
        <v>40</v>
      </c>
      <c r="C16" s="2" t="s">
        <v>41</v>
      </c>
      <c r="D16" s="3" t="s">
        <v>9</v>
      </c>
      <c r="E16" s="4" t="s">
        <v>42</v>
      </c>
      <c r="F16" s="2"/>
      <c r="G16" s="2"/>
    </row>
    <row r="17" spans="1:7" ht="15" customHeight="1" x14ac:dyDescent="0.35">
      <c r="A17" s="2">
        <v>16</v>
      </c>
      <c r="B17" s="2" t="s">
        <v>40</v>
      </c>
      <c r="C17" s="2" t="s">
        <v>43</v>
      </c>
      <c r="D17" s="5" t="s">
        <v>16</v>
      </c>
      <c r="E17" s="4" t="s">
        <v>44</v>
      </c>
      <c r="F17" s="2"/>
      <c r="G17" s="2"/>
    </row>
    <row r="18" spans="1:7" ht="15" customHeight="1" x14ac:dyDescent="0.35">
      <c r="A18" s="2">
        <v>17</v>
      </c>
      <c r="B18" s="2" t="s">
        <v>40</v>
      </c>
      <c r="C18" s="2" t="s">
        <v>45</v>
      </c>
      <c r="D18" s="5" t="s">
        <v>16</v>
      </c>
      <c r="E18" s="4" t="s">
        <v>46</v>
      </c>
      <c r="F18" s="2"/>
      <c r="G18" s="2"/>
    </row>
    <row r="19" spans="1:7" ht="15" customHeight="1" x14ac:dyDescent="0.35">
      <c r="A19" s="2">
        <v>18</v>
      </c>
      <c r="B19" s="2" t="s">
        <v>40</v>
      </c>
      <c r="C19" s="2" t="s">
        <v>47</v>
      </c>
      <c r="D19" s="5" t="s">
        <v>16</v>
      </c>
      <c r="E19" s="4" t="s">
        <v>48</v>
      </c>
      <c r="F19" s="2"/>
      <c r="G19" s="2"/>
    </row>
    <row r="20" spans="1:7" ht="15" customHeight="1" x14ac:dyDescent="0.35">
      <c r="A20" s="2">
        <v>19</v>
      </c>
      <c r="B20" s="2" t="s">
        <v>40</v>
      </c>
      <c r="C20" s="2" t="s">
        <v>49</v>
      </c>
      <c r="D20" s="6" t="s">
        <v>38</v>
      </c>
      <c r="E20" s="4" t="s">
        <v>50</v>
      </c>
      <c r="F20" s="2"/>
      <c r="G20" s="2"/>
    </row>
    <row r="21" spans="1:7" ht="15" customHeight="1" x14ac:dyDescent="0.35">
      <c r="A21" s="2">
        <v>20</v>
      </c>
      <c r="B21" s="2" t="s">
        <v>40</v>
      </c>
      <c r="C21" s="2" t="s">
        <v>51</v>
      </c>
      <c r="D21" s="6" t="s">
        <v>38</v>
      </c>
      <c r="E21" s="4" t="s">
        <v>52</v>
      </c>
      <c r="F21" s="2"/>
      <c r="G21" s="2"/>
    </row>
    <row r="22" spans="1:7" ht="15" customHeight="1" x14ac:dyDescent="0.35">
      <c r="A22" s="2">
        <v>21</v>
      </c>
      <c r="B22" s="2" t="s">
        <v>53</v>
      </c>
      <c r="C22" s="2" t="s">
        <v>54</v>
      </c>
      <c r="D22" s="3" t="s">
        <v>9</v>
      </c>
      <c r="E22" s="4" t="s">
        <v>55</v>
      </c>
      <c r="F22" s="2"/>
      <c r="G22" s="2"/>
    </row>
    <row r="23" spans="1:7" ht="15" customHeight="1" x14ac:dyDescent="0.35">
      <c r="A23" s="2">
        <v>22</v>
      </c>
      <c r="B23" s="2" t="s">
        <v>53</v>
      </c>
      <c r="C23" s="2" t="s">
        <v>56</v>
      </c>
      <c r="D23" s="5" t="s">
        <v>16</v>
      </c>
      <c r="E23" s="4" t="s">
        <v>57</v>
      </c>
      <c r="F23" s="2"/>
      <c r="G23" s="2"/>
    </row>
    <row r="24" spans="1:7" ht="15" customHeight="1" x14ac:dyDescent="0.35">
      <c r="A24" s="2">
        <v>23</v>
      </c>
      <c r="B24" s="2" t="s">
        <v>53</v>
      </c>
      <c r="C24" s="2" t="s">
        <v>58</v>
      </c>
      <c r="D24" s="5" t="s">
        <v>16</v>
      </c>
      <c r="E24" s="4" t="s">
        <v>59</v>
      </c>
      <c r="F24" s="2"/>
      <c r="G24" s="2"/>
    </row>
    <row r="25" spans="1:7" ht="15" customHeight="1" x14ac:dyDescent="0.35">
      <c r="A25" s="2">
        <v>24</v>
      </c>
      <c r="B25" s="2" t="s">
        <v>53</v>
      </c>
      <c r="C25" s="2" t="s">
        <v>60</v>
      </c>
      <c r="D25" s="5" t="s">
        <v>16</v>
      </c>
      <c r="E25" s="4" t="s">
        <v>61</v>
      </c>
      <c r="F25" s="2"/>
      <c r="G25" s="2"/>
    </row>
    <row r="26" spans="1:7" ht="15" customHeight="1" x14ac:dyDescent="0.35">
      <c r="A26" s="2">
        <v>25</v>
      </c>
      <c r="B26" s="2" t="s">
        <v>53</v>
      </c>
      <c r="C26" s="2" t="s">
        <v>62</v>
      </c>
      <c r="D26" s="5" t="s">
        <v>16</v>
      </c>
      <c r="E26" s="4" t="s">
        <v>63</v>
      </c>
      <c r="F26" s="2"/>
      <c r="G26" s="2"/>
    </row>
    <row r="27" spans="1:7" ht="15" customHeight="1" x14ac:dyDescent="0.35">
      <c r="A27" s="2">
        <v>26</v>
      </c>
      <c r="B27" s="2" t="s">
        <v>53</v>
      </c>
      <c r="C27" s="2" t="s">
        <v>64</v>
      </c>
      <c r="D27" s="5" t="s">
        <v>16</v>
      </c>
      <c r="E27" s="4" t="s">
        <v>65</v>
      </c>
      <c r="F27" s="2"/>
      <c r="G27" s="2"/>
    </row>
    <row r="28" spans="1:7" ht="15" customHeight="1" x14ac:dyDescent="0.35">
      <c r="A28" s="2">
        <v>27</v>
      </c>
      <c r="B28" s="2" t="s">
        <v>53</v>
      </c>
      <c r="C28" s="2" t="s">
        <v>66</v>
      </c>
      <c r="D28" s="6" t="s">
        <v>38</v>
      </c>
      <c r="E28" s="4" t="s">
        <v>67</v>
      </c>
      <c r="F28" s="2"/>
      <c r="G28" s="2"/>
    </row>
    <row r="29" spans="1:7" ht="15" customHeight="1" x14ac:dyDescent="0.35">
      <c r="A29" s="2">
        <v>28</v>
      </c>
      <c r="B29" s="2" t="s">
        <v>68</v>
      </c>
      <c r="C29" s="2" t="s">
        <v>68</v>
      </c>
      <c r="D29" s="3" t="s">
        <v>9</v>
      </c>
      <c r="E29" s="4" t="s">
        <v>69</v>
      </c>
      <c r="F29" s="2"/>
      <c r="G29" s="2"/>
    </row>
    <row r="30" spans="1:7" ht="15" customHeight="1" x14ac:dyDescent="0.35">
      <c r="A30" s="2">
        <v>29</v>
      </c>
      <c r="B30" s="2" t="s">
        <v>68</v>
      </c>
      <c r="C30" s="2" t="s">
        <v>70</v>
      </c>
      <c r="D30" s="5" t="s">
        <v>16</v>
      </c>
      <c r="E30" s="4" t="s">
        <v>71</v>
      </c>
      <c r="F30" s="2"/>
      <c r="G30" s="2"/>
    </row>
    <row r="31" spans="1:7" ht="15" customHeight="1" x14ac:dyDescent="0.35">
      <c r="A31" s="2">
        <v>30</v>
      </c>
      <c r="B31" s="2" t="s">
        <v>68</v>
      </c>
      <c r="C31" s="2" t="s">
        <v>72</v>
      </c>
      <c r="D31" s="5" t="s">
        <v>16</v>
      </c>
      <c r="E31" s="4" t="s">
        <v>73</v>
      </c>
      <c r="F31" s="2"/>
      <c r="G31" s="2"/>
    </row>
    <row r="32" spans="1:7" ht="15" customHeight="1" x14ac:dyDescent="0.35">
      <c r="A32" s="2">
        <v>31</v>
      </c>
      <c r="B32" s="2" t="s">
        <v>68</v>
      </c>
      <c r="C32" s="2" t="s">
        <v>74</v>
      </c>
      <c r="D32" s="5" t="s">
        <v>16</v>
      </c>
      <c r="E32" s="4" t="s">
        <v>75</v>
      </c>
      <c r="F32" s="2"/>
      <c r="G32" s="2"/>
    </row>
    <row r="33" spans="1:7" ht="15" customHeight="1" x14ac:dyDescent="0.35">
      <c r="A33" s="2">
        <v>32</v>
      </c>
      <c r="B33" s="2" t="s">
        <v>68</v>
      </c>
      <c r="C33" s="2" t="s">
        <v>76</v>
      </c>
      <c r="D33" s="5" t="s">
        <v>16</v>
      </c>
      <c r="E33" s="4" t="s">
        <v>77</v>
      </c>
      <c r="F33" s="2"/>
      <c r="G33" s="2"/>
    </row>
    <row r="34" spans="1:7" ht="15" customHeight="1" x14ac:dyDescent="0.35">
      <c r="A34" s="2">
        <v>33</v>
      </c>
      <c r="B34" s="2" t="s">
        <v>68</v>
      </c>
      <c r="C34" s="2" t="s">
        <v>78</v>
      </c>
      <c r="D34" s="5" t="s">
        <v>16</v>
      </c>
      <c r="E34" s="4" t="s">
        <v>79</v>
      </c>
      <c r="F34" s="2"/>
      <c r="G34" s="2"/>
    </row>
    <row r="35" spans="1:7" ht="15" customHeight="1" x14ac:dyDescent="0.35">
      <c r="A35" s="2">
        <v>34</v>
      </c>
      <c r="B35" s="2" t="s">
        <v>68</v>
      </c>
      <c r="C35" s="2" t="s">
        <v>80</v>
      </c>
      <c r="D35" s="6" t="s">
        <v>38</v>
      </c>
      <c r="E35" s="4" t="s">
        <v>81</v>
      </c>
      <c r="F35" s="2"/>
      <c r="G35" s="2"/>
    </row>
    <row r="36" spans="1:7" ht="15" customHeight="1" x14ac:dyDescent="0.35">
      <c r="A36" s="2">
        <v>35</v>
      </c>
      <c r="B36" s="2" t="s">
        <v>82</v>
      </c>
      <c r="C36" s="2" t="s">
        <v>83</v>
      </c>
      <c r="D36" s="3" t="s">
        <v>9</v>
      </c>
      <c r="E36" s="4" t="s">
        <v>84</v>
      </c>
      <c r="F36" s="2"/>
      <c r="G36" s="2"/>
    </row>
    <row r="37" spans="1:7" ht="15" customHeight="1" x14ac:dyDescent="0.35">
      <c r="A37" s="2">
        <v>36</v>
      </c>
      <c r="B37" s="2" t="s">
        <v>82</v>
      </c>
      <c r="C37" s="2" t="s">
        <v>85</v>
      </c>
      <c r="D37" s="3" t="s">
        <v>9</v>
      </c>
      <c r="E37" s="4" t="s">
        <v>86</v>
      </c>
      <c r="F37" s="2"/>
      <c r="G37" s="2"/>
    </row>
    <row r="38" spans="1:7" ht="15" customHeight="1" x14ac:dyDescent="0.35">
      <c r="A38" s="2">
        <v>37</v>
      </c>
      <c r="B38" s="2" t="s">
        <v>82</v>
      </c>
      <c r="C38" s="2" t="s">
        <v>87</v>
      </c>
      <c r="D38" s="5" t="s">
        <v>16</v>
      </c>
      <c r="E38" s="4" t="s">
        <v>88</v>
      </c>
      <c r="F38" s="2"/>
      <c r="G38" s="2"/>
    </row>
    <row r="39" spans="1:7" ht="15" customHeight="1" x14ac:dyDescent="0.35">
      <c r="A39" s="2">
        <v>38</v>
      </c>
      <c r="B39" s="2" t="s">
        <v>82</v>
      </c>
      <c r="C39" s="2" t="s">
        <v>89</v>
      </c>
      <c r="D39" s="5" t="s">
        <v>16</v>
      </c>
      <c r="E39" s="4" t="s">
        <v>90</v>
      </c>
      <c r="F39" s="2"/>
      <c r="G39" s="2"/>
    </row>
    <row r="40" spans="1:7" ht="15" customHeight="1" x14ac:dyDescent="0.35">
      <c r="A40" s="2">
        <v>39</v>
      </c>
      <c r="B40" s="2" t="s">
        <v>82</v>
      </c>
      <c r="C40" s="2" t="s">
        <v>91</v>
      </c>
      <c r="D40" s="5" t="s">
        <v>16</v>
      </c>
      <c r="E40" s="4" t="s">
        <v>92</v>
      </c>
      <c r="F40" s="2"/>
      <c r="G40" s="2"/>
    </row>
    <row r="41" spans="1:7" ht="15" customHeight="1" x14ac:dyDescent="0.35">
      <c r="A41" s="2">
        <v>40</v>
      </c>
      <c r="B41" s="2" t="s">
        <v>82</v>
      </c>
      <c r="C41" s="2" t="s">
        <v>93</v>
      </c>
      <c r="D41" s="5" t="s">
        <v>16</v>
      </c>
      <c r="E41" s="4" t="s">
        <v>94</v>
      </c>
      <c r="F41" s="2"/>
      <c r="G41" s="2"/>
    </row>
    <row r="42" spans="1:7" ht="15" customHeight="1" x14ac:dyDescent="0.35">
      <c r="A42" s="2">
        <v>41</v>
      </c>
      <c r="B42" s="2" t="s">
        <v>82</v>
      </c>
      <c r="C42" s="2" t="s">
        <v>95</v>
      </c>
      <c r="D42" s="3" t="s">
        <v>9</v>
      </c>
      <c r="E42" s="4" t="s">
        <v>96</v>
      </c>
      <c r="F42" s="2"/>
      <c r="G42" s="2"/>
    </row>
    <row r="43" spans="1:7" ht="15" customHeight="1" x14ac:dyDescent="0.35">
      <c r="A43" s="2">
        <v>42</v>
      </c>
      <c r="B43" s="2" t="s">
        <v>82</v>
      </c>
      <c r="C43" s="2" t="s">
        <v>97</v>
      </c>
      <c r="D43" s="5" t="s">
        <v>16</v>
      </c>
      <c r="E43" s="4" t="s">
        <v>98</v>
      </c>
      <c r="F43" s="2"/>
      <c r="G43" s="2"/>
    </row>
    <row r="44" spans="1:7" ht="15" customHeight="1" x14ac:dyDescent="0.35">
      <c r="A44" s="2">
        <v>43</v>
      </c>
      <c r="B44" s="2" t="s">
        <v>82</v>
      </c>
      <c r="C44" s="2" t="s">
        <v>99</v>
      </c>
      <c r="D44" s="5" t="s">
        <v>16</v>
      </c>
      <c r="E44" s="4" t="s">
        <v>100</v>
      </c>
      <c r="F44" s="2"/>
      <c r="G44" s="2"/>
    </row>
    <row r="45" spans="1:7" ht="15" customHeight="1" x14ac:dyDescent="0.35">
      <c r="A45" s="2">
        <v>44</v>
      </c>
      <c r="B45" s="2" t="s">
        <v>82</v>
      </c>
      <c r="C45" s="2" t="s">
        <v>101</v>
      </c>
      <c r="D45" s="6" t="s">
        <v>38</v>
      </c>
      <c r="E45" s="4" t="s">
        <v>102</v>
      </c>
      <c r="F45" s="2"/>
      <c r="G45" s="2"/>
    </row>
    <row r="46" spans="1:7" ht="15" customHeight="1" x14ac:dyDescent="0.35">
      <c r="A46" s="2">
        <v>45</v>
      </c>
      <c r="B46" s="2" t="s">
        <v>82</v>
      </c>
      <c r="C46" s="2" t="s">
        <v>103</v>
      </c>
      <c r="D46" s="6" t="s">
        <v>38</v>
      </c>
      <c r="E46" s="4" t="s">
        <v>104</v>
      </c>
      <c r="F46" s="2"/>
      <c r="G46" s="2"/>
    </row>
    <row r="47" spans="1:7" ht="15" customHeight="1" x14ac:dyDescent="0.35">
      <c r="A47" s="2">
        <v>46</v>
      </c>
      <c r="B47" s="2" t="s">
        <v>105</v>
      </c>
      <c r="C47" s="2" t="s">
        <v>106</v>
      </c>
      <c r="D47" s="3" t="s">
        <v>9</v>
      </c>
      <c r="E47" s="4" t="s">
        <v>107</v>
      </c>
      <c r="F47" s="2"/>
      <c r="G47" s="2"/>
    </row>
    <row r="48" spans="1:7" ht="15" customHeight="1" x14ac:dyDescent="0.35">
      <c r="A48" s="2">
        <v>47</v>
      </c>
      <c r="B48" s="2" t="s">
        <v>105</v>
      </c>
      <c r="C48" s="2" t="s">
        <v>108</v>
      </c>
      <c r="D48" s="3" t="s">
        <v>9</v>
      </c>
      <c r="E48" s="4" t="s">
        <v>109</v>
      </c>
      <c r="F48" s="2"/>
      <c r="G48" s="2"/>
    </row>
    <row r="49" spans="1:7" ht="15" customHeight="1" x14ac:dyDescent="0.35">
      <c r="A49" s="2">
        <v>48</v>
      </c>
      <c r="B49" s="2" t="s">
        <v>105</v>
      </c>
      <c r="C49" s="2" t="s">
        <v>110</v>
      </c>
      <c r="D49" s="3" t="s">
        <v>9</v>
      </c>
      <c r="E49" s="4" t="s">
        <v>111</v>
      </c>
      <c r="F49" s="2"/>
      <c r="G49" s="2"/>
    </row>
    <row r="50" spans="1:7" ht="15" customHeight="1" x14ac:dyDescent="0.35">
      <c r="A50" s="2">
        <v>49</v>
      </c>
      <c r="B50" s="2" t="s">
        <v>105</v>
      </c>
      <c r="C50" s="2" t="s">
        <v>112</v>
      </c>
      <c r="D50" s="3" t="s">
        <v>9</v>
      </c>
      <c r="E50" s="4" t="s">
        <v>113</v>
      </c>
      <c r="F50" s="2"/>
      <c r="G50" s="2"/>
    </row>
    <row r="51" spans="1:7" ht="15" customHeight="1" x14ac:dyDescent="0.35">
      <c r="A51" s="2">
        <v>50</v>
      </c>
      <c r="B51" s="2" t="s">
        <v>105</v>
      </c>
      <c r="C51" s="2" t="s">
        <v>114</v>
      </c>
      <c r="D51" s="3" t="s">
        <v>9</v>
      </c>
      <c r="E51" s="4" t="s">
        <v>115</v>
      </c>
      <c r="F51" s="2"/>
      <c r="G51" s="2"/>
    </row>
    <row r="52" spans="1:7" ht="15" customHeight="1" x14ac:dyDescent="0.35">
      <c r="A52" s="2">
        <v>51</v>
      </c>
      <c r="B52" s="2" t="s">
        <v>105</v>
      </c>
      <c r="C52" s="2" t="s">
        <v>116</v>
      </c>
      <c r="D52" s="3" t="s">
        <v>9</v>
      </c>
      <c r="E52" s="4" t="s">
        <v>117</v>
      </c>
      <c r="F52" s="2"/>
      <c r="G52" s="2"/>
    </row>
    <row r="53" spans="1:7" ht="15" customHeight="1" x14ac:dyDescent="0.35">
      <c r="A53" s="2">
        <v>52</v>
      </c>
      <c r="B53" s="2" t="s">
        <v>105</v>
      </c>
      <c r="C53" s="2" t="s">
        <v>118</v>
      </c>
      <c r="D53" s="5" t="s">
        <v>16</v>
      </c>
      <c r="E53" s="4" t="s">
        <v>119</v>
      </c>
      <c r="F53" s="2"/>
      <c r="G53" s="2"/>
    </row>
    <row r="54" spans="1:7" ht="15" customHeight="1" x14ac:dyDescent="0.35">
      <c r="A54" s="2">
        <v>53</v>
      </c>
      <c r="B54" s="2" t="s">
        <v>105</v>
      </c>
      <c r="C54" s="2" t="s">
        <v>120</v>
      </c>
      <c r="D54" s="5" t="s">
        <v>16</v>
      </c>
      <c r="E54" s="4" t="s">
        <v>121</v>
      </c>
      <c r="F54" s="2"/>
      <c r="G54" s="2"/>
    </row>
    <row r="55" spans="1:7" ht="15" customHeight="1" x14ac:dyDescent="0.35">
      <c r="A55" s="2">
        <v>54</v>
      </c>
      <c r="B55" s="2" t="s">
        <v>105</v>
      </c>
      <c r="C55" s="2" t="s">
        <v>122</v>
      </c>
      <c r="D55" s="5" t="s">
        <v>16</v>
      </c>
      <c r="E55" s="4" t="s">
        <v>123</v>
      </c>
      <c r="F55" s="2"/>
      <c r="G55" s="2"/>
    </row>
    <row r="56" spans="1:7" ht="15" customHeight="1" x14ac:dyDescent="0.35">
      <c r="A56" s="2">
        <v>55</v>
      </c>
      <c r="B56" s="2" t="s">
        <v>105</v>
      </c>
      <c r="C56" s="2" t="s">
        <v>124</v>
      </c>
      <c r="D56" s="5" t="s">
        <v>16</v>
      </c>
      <c r="E56" s="4" t="s">
        <v>125</v>
      </c>
      <c r="F56" s="2"/>
      <c r="G56" s="2"/>
    </row>
    <row r="57" spans="1:7" ht="15" customHeight="1" x14ac:dyDescent="0.35">
      <c r="A57" s="2">
        <v>56</v>
      </c>
      <c r="B57" s="2" t="s">
        <v>105</v>
      </c>
      <c r="C57" s="2" t="s">
        <v>126</v>
      </c>
      <c r="D57" s="5" t="s">
        <v>16</v>
      </c>
      <c r="E57" s="4" t="s">
        <v>127</v>
      </c>
      <c r="F57" s="2"/>
      <c r="G57" s="2"/>
    </row>
    <row r="58" spans="1:7" ht="15" customHeight="1" x14ac:dyDescent="0.35">
      <c r="A58" s="2">
        <v>57</v>
      </c>
      <c r="B58" s="2" t="s">
        <v>105</v>
      </c>
      <c r="C58" s="2" t="s">
        <v>128</v>
      </c>
      <c r="D58" s="5" t="s">
        <v>16</v>
      </c>
      <c r="E58" s="4" t="s">
        <v>129</v>
      </c>
      <c r="F58" s="2"/>
      <c r="G58" s="2"/>
    </row>
    <row r="59" spans="1:7" ht="15" customHeight="1" x14ac:dyDescent="0.35">
      <c r="A59" s="2">
        <v>58</v>
      </c>
      <c r="B59" s="2" t="s">
        <v>105</v>
      </c>
      <c r="C59" s="2" t="s">
        <v>130</v>
      </c>
      <c r="D59" s="5" t="s">
        <v>16</v>
      </c>
      <c r="E59" s="4" t="s">
        <v>131</v>
      </c>
      <c r="F59" s="2"/>
      <c r="G59" s="2"/>
    </row>
    <row r="60" spans="1:7" ht="15" customHeight="1" x14ac:dyDescent="0.35">
      <c r="A60" s="2">
        <v>59</v>
      </c>
      <c r="B60" s="2" t="s">
        <v>105</v>
      </c>
      <c r="C60" s="2" t="s">
        <v>132</v>
      </c>
      <c r="D60" s="6" t="s">
        <v>38</v>
      </c>
      <c r="E60" s="4" t="s">
        <v>133</v>
      </c>
      <c r="F60" s="2"/>
      <c r="G60" s="2"/>
    </row>
    <row r="61" spans="1:7" ht="15" customHeight="1" x14ac:dyDescent="0.35">
      <c r="A61" s="2">
        <v>60</v>
      </c>
      <c r="B61" s="2" t="s">
        <v>105</v>
      </c>
      <c r="C61" s="2" t="s">
        <v>134</v>
      </c>
      <c r="D61" s="6" t="s">
        <v>38</v>
      </c>
      <c r="E61" s="4" t="s">
        <v>135</v>
      </c>
      <c r="F61" s="2"/>
      <c r="G61" s="2"/>
    </row>
    <row r="62" spans="1:7" ht="15" customHeight="1" x14ac:dyDescent="0.35">
      <c r="A62" s="2">
        <v>61</v>
      </c>
      <c r="B62" s="2" t="s">
        <v>136</v>
      </c>
      <c r="C62" s="2" t="s">
        <v>137</v>
      </c>
      <c r="D62" s="5" t="s">
        <v>16</v>
      </c>
      <c r="E62" s="4" t="s">
        <v>138</v>
      </c>
      <c r="F62" s="2"/>
      <c r="G62" s="2"/>
    </row>
    <row r="63" spans="1:7" ht="15" customHeight="1" x14ac:dyDescent="0.35">
      <c r="A63" s="2">
        <v>62</v>
      </c>
      <c r="B63" s="2" t="s">
        <v>136</v>
      </c>
      <c r="C63" s="2" t="s">
        <v>139</v>
      </c>
      <c r="D63" s="5" t="s">
        <v>16</v>
      </c>
      <c r="E63" s="4" t="s">
        <v>140</v>
      </c>
      <c r="F63" s="2"/>
      <c r="G63" s="2"/>
    </row>
    <row r="64" spans="1:7" ht="15" customHeight="1" x14ac:dyDescent="0.35">
      <c r="A64" s="2">
        <v>63</v>
      </c>
      <c r="B64" s="2" t="s">
        <v>136</v>
      </c>
      <c r="C64" s="2" t="s">
        <v>141</v>
      </c>
      <c r="D64" s="6" t="s">
        <v>38</v>
      </c>
      <c r="E64" s="4" t="s">
        <v>142</v>
      </c>
      <c r="F64" s="2"/>
      <c r="G64" s="2"/>
    </row>
    <row r="65" spans="1:7" ht="15" customHeight="1" x14ac:dyDescent="0.35">
      <c r="A65" s="2">
        <v>64</v>
      </c>
      <c r="B65" s="2" t="s">
        <v>143</v>
      </c>
      <c r="C65" s="2" t="s">
        <v>144</v>
      </c>
      <c r="D65" s="3" t="s">
        <v>9</v>
      </c>
      <c r="E65" s="4" t="s">
        <v>145</v>
      </c>
      <c r="F65" s="2"/>
      <c r="G65" s="2"/>
    </row>
    <row r="66" spans="1:7" ht="15" customHeight="1" x14ac:dyDescent="0.35">
      <c r="A66" s="2">
        <v>65</v>
      </c>
      <c r="B66" s="2" t="s">
        <v>143</v>
      </c>
      <c r="C66" s="2" t="s">
        <v>146</v>
      </c>
      <c r="D66" s="3" t="s">
        <v>9</v>
      </c>
      <c r="E66" s="4" t="s">
        <v>147</v>
      </c>
      <c r="F66" s="2"/>
      <c r="G66" s="2"/>
    </row>
    <row r="67" spans="1:7" ht="15" customHeight="1" x14ac:dyDescent="0.35">
      <c r="A67" s="2">
        <v>66</v>
      </c>
      <c r="B67" s="2" t="s">
        <v>143</v>
      </c>
      <c r="C67" s="2" t="s">
        <v>148</v>
      </c>
      <c r="D67" s="5" t="s">
        <v>16</v>
      </c>
      <c r="E67" s="4" t="s">
        <v>149</v>
      </c>
      <c r="F67" s="2"/>
      <c r="G67" s="2"/>
    </row>
    <row r="68" spans="1:7" ht="15" customHeight="1" x14ac:dyDescent="0.35">
      <c r="A68" s="2">
        <v>67</v>
      </c>
      <c r="B68" s="2" t="s">
        <v>143</v>
      </c>
      <c r="C68" s="2" t="s">
        <v>150</v>
      </c>
      <c r="D68" s="5" t="s">
        <v>16</v>
      </c>
      <c r="E68" s="4" t="s">
        <v>151</v>
      </c>
      <c r="F68" s="2"/>
      <c r="G68" s="2"/>
    </row>
    <row r="69" spans="1:7" ht="15" customHeight="1" x14ac:dyDescent="0.35">
      <c r="A69" s="2">
        <v>68</v>
      </c>
      <c r="B69" s="2" t="s">
        <v>143</v>
      </c>
      <c r="C69" s="2" t="s">
        <v>152</v>
      </c>
      <c r="D69" s="5" t="s">
        <v>16</v>
      </c>
      <c r="E69" s="4" t="s">
        <v>153</v>
      </c>
      <c r="F69" s="2"/>
      <c r="G69" s="2"/>
    </row>
    <row r="70" spans="1:7" ht="15" customHeight="1" x14ac:dyDescent="0.35">
      <c r="A70" s="2">
        <v>69</v>
      </c>
      <c r="B70" s="2" t="s">
        <v>143</v>
      </c>
      <c r="C70" s="2" t="s">
        <v>154</v>
      </c>
      <c r="D70" s="5" t="s">
        <v>16</v>
      </c>
      <c r="E70" s="4" t="s">
        <v>155</v>
      </c>
      <c r="F70" s="2"/>
      <c r="G70" s="2"/>
    </row>
    <row r="71" spans="1:7" ht="15" customHeight="1" x14ac:dyDescent="0.35">
      <c r="A71" s="2">
        <v>70</v>
      </c>
      <c r="B71" s="2" t="s">
        <v>143</v>
      </c>
      <c r="C71" s="2" t="s">
        <v>156</v>
      </c>
      <c r="D71" s="6" t="s">
        <v>38</v>
      </c>
      <c r="E71" s="4" t="s">
        <v>157</v>
      </c>
      <c r="F71" s="2"/>
      <c r="G71" s="2"/>
    </row>
    <row r="72" spans="1:7" ht="15" customHeight="1" x14ac:dyDescent="0.35">
      <c r="A72" s="2">
        <v>71</v>
      </c>
      <c r="B72" s="2" t="s">
        <v>158</v>
      </c>
      <c r="C72" s="2" t="s">
        <v>159</v>
      </c>
      <c r="D72" s="5" t="s">
        <v>16</v>
      </c>
      <c r="E72" s="4" t="s">
        <v>160</v>
      </c>
      <c r="F72" s="2"/>
      <c r="G72" s="2"/>
    </row>
    <row r="73" spans="1:7" ht="15" customHeight="1" x14ac:dyDescent="0.35">
      <c r="A73" s="2">
        <v>72</v>
      </c>
      <c r="B73" s="2" t="s">
        <v>158</v>
      </c>
      <c r="C73" s="2" t="s">
        <v>161</v>
      </c>
      <c r="D73" s="5" t="s">
        <v>16</v>
      </c>
      <c r="E73" s="4" t="s">
        <v>162</v>
      </c>
      <c r="F73" s="2"/>
      <c r="G73" s="2"/>
    </row>
    <row r="74" spans="1:7" ht="15" customHeight="1" x14ac:dyDescent="0.35">
      <c r="A74" s="2">
        <v>73</v>
      </c>
      <c r="B74" s="2" t="s">
        <v>158</v>
      </c>
      <c r="C74" s="2" t="s">
        <v>163</v>
      </c>
      <c r="D74" s="5" t="s">
        <v>16</v>
      </c>
      <c r="E74" s="4" t="s">
        <v>164</v>
      </c>
      <c r="F74" s="2"/>
      <c r="G74" s="2"/>
    </row>
    <row r="75" spans="1:7" ht="15" customHeight="1" x14ac:dyDescent="0.35">
      <c r="A75" s="2">
        <v>74</v>
      </c>
      <c r="B75" s="2" t="s">
        <v>158</v>
      </c>
      <c r="C75" s="2" t="s">
        <v>165</v>
      </c>
      <c r="D75" s="5" t="s">
        <v>16</v>
      </c>
      <c r="E75" s="4" t="s">
        <v>166</v>
      </c>
      <c r="F75" s="2"/>
      <c r="G75" s="2"/>
    </row>
    <row r="76" spans="1:7" ht="15" customHeight="1" x14ac:dyDescent="0.35">
      <c r="A76" s="2">
        <v>75</v>
      </c>
      <c r="B76" s="2" t="s">
        <v>158</v>
      </c>
      <c r="C76" s="2" t="s">
        <v>167</v>
      </c>
      <c r="D76" s="5" t="s">
        <v>16</v>
      </c>
      <c r="E76" s="4" t="s">
        <v>168</v>
      </c>
      <c r="F76" s="2"/>
      <c r="G76" s="2"/>
    </row>
    <row r="77" spans="1:7" ht="15" customHeight="1" x14ac:dyDescent="0.35">
      <c r="A77" s="2">
        <v>76</v>
      </c>
      <c r="B77" s="2" t="s">
        <v>158</v>
      </c>
      <c r="C77" s="2" t="s">
        <v>169</v>
      </c>
      <c r="D77" s="5" t="s">
        <v>16</v>
      </c>
      <c r="E77" s="4" t="s">
        <v>170</v>
      </c>
      <c r="F77" s="2"/>
      <c r="G77" s="2"/>
    </row>
    <row r="78" spans="1:7" ht="15" customHeight="1" x14ac:dyDescent="0.35">
      <c r="A78" s="2">
        <v>77</v>
      </c>
      <c r="B78" s="2" t="s">
        <v>158</v>
      </c>
      <c r="C78" s="2" t="s">
        <v>171</v>
      </c>
      <c r="D78" s="5" t="s">
        <v>16</v>
      </c>
      <c r="E78" s="4" t="s">
        <v>172</v>
      </c>
      <c r="F78" s="2"/>
      <c r="G78" s="2"/>
    </row>
    <row r="79" spans="1:7" ht="15" customHeight="1" x14ac:dyDescent="0.35">
      <c r="A79" s="2">
        <v>78</v>
      </c>
      <c r="B79" s="2" t="s">
        <v>158</v>
      </c>
      <c r="C79" s="2" t="s">
        <v>173</v>
      </c>
      <c r="D79" s="5" t="s">
        <v>16</v>
      </c>
      <c r="E79" s="4" t="s">
        <v>174</v>
      </c>
      <c r="F79" s="2"/>
      <c r="G79" s="2"/>
    </row>
    <row r="80" spans="1:7" ht="15" customHeight="1" x14ac:dyDescent="0.35">
      <c r="A80" s="2">
        <v>79</v>
      </c>
      <c r="B80" s="2" t="s">
        <v>158</v>
      </c>
      <c r="C80" s="2" t="s">
        <v>175</v>
      </c>
      <c r="D80" s="6" t="s">
        <v>38</v>
      </c>
      <c r="E80" s="4" t="s">
        <v>176</v>
      </c>
      <c r="F80" s="2"/>
      <c r="G80" s="2"/>
    </row>
    <row r="81" spans="1:7" ht="15" customHeight="1" x14ac:dyDescent="0.35">
      <c r="A81" s="2">
        <v>80</v>
      </c>
      <c r="B81" s="2" t="s">
        <v>177</v>
      </c>
      <c r="C81" s="2" t="s">
        <v>178</v>
      </c>
      <c r="D81" s="5" t="s">
        <v>16</v>
      </c>
      <c r="E81" s="4" t="s">
        <v>179</v>
      </c>
      <c r="F81" s="2"/>
      <c r="G81" s="2"/>
    </row>
    <row r="82" spans="1:7" ht="15" customHeight="1" x14ac:dyDescent="0.35">
      <c r="A82" s="2">
        <v>81</v>
      </c>
      <c r="B82" s="2" t="s">
        <v>177</v>
      </c>
      <c r="C82" s="2" t="s">
        <v>180</v>
      </c>
      <c r="D82" s="5" t="s">
        <v>16</v>
      </c>
      <c r="E82" s="4" t="s">
        <v>181</v>
      </c>
      <c r="F82" s="2"/>
      <c r="G82" s="2"/>
    </row>
    <row r="83" spans="1:7" ht="15" customHeight="1" x14ac:dyDescent="0.35">
      <c r="A83" s="2">
        <v>82</v>
      </c>
      <c r="B83" s="2" t="s">
        <v>177</v>
      </c>
      <c r="C83" s="2" t="s">
        <v>182</v>
      </c>
      <c r="D83" s="5" t="s">
        <v>16</v>
      </c>
      <c r="E83" s="4" t="s">
        <v>183</v>
      </c>
      <c r="F83" s="2"/>
      <c r="G83" s="2"/>
    </row>
    <row r="84" spans="1:7" ht="15" customHeight="1" x14ac:dyDescent="0.35">
      <c r="A84" s="2">
        <v>83</v>
      </c>
      <c r="B84" s="2" t="s">
        <v>177</v>
      </c>
      <c r="C84" s="2" t="s">
        <v>184</v>
      </c>
      <c r="D84" s="5" t="s">
        <v>16</v>
      </c>
      <c r="E84" s="4" t="s">
        <v>185</v>
      </c>
      <c r="F84" s="2"/>
      <c r="G84" s="2"/>
    </row>
    <row r="85" spans="1:7" ht="15" customHeight="1" x14ac:dyDescent="0.35">
      <c r="A85" s="2">
        <v>84</v>
      </c>
      <c r="B85" s="2" t="s">
        <v>177</v>
      </c>
      <c r="C85" s="2" t="s">
        <v>186</v>
      </c>
      <c r="D85" s="5" t="s">
        <v>16</v>
      </c>
      <c r="E85" s="4" t="s">
        <v>187</v>
      </c>
      <c r="F85" s="2"/>
      <c r="G85" s="2"/>
    </row>
    <row r="86" spans="1:7" ht="15" customHeight="1" x14ac:dyDescent="0.35">
      <c r="A86" s="2">
        <v>85</v>
      </c>
      <c r="B86" s="2" t="s">
        <v>177</v>
      </c>
      <c r="C86" s="2" t="s">
        <v>188</v>
      </c>
      <c r="D86" s="5" t="s">
        <v>16</v>
      </c>
      <c r="E86" s="4" t="s">
        <v>189</v>
      </c>
      <c r="F86" s="2"/>
      <c r="G86" s="2"/>
    </row>
    <row r="87" spans="1:7" ht="15" customHeight="1" x14ac:dyDescent="0.35">
      <c r="A87" s="2">
        <v>86</v>
      </c>
      <c r="B87" s="2" t="s">
        <v>177</v>
      </c>
      <c r="C87" s="2" t="s">
        <v>190</v>
      </c>
      <c r="D87" s="5" t="s">
        <v>16</v>
      </c>
      <c r="E87" s="4" t="s">
        <v>191</v>
      </c>
      <c r="F87" s="2"/>
      <c r="G87" s="2"/>
    </row>
    <row r="88" spans="1:7" ht="15" customHeight="1" x14ac:dyDescent="0.35">
      <c r="A88" s="2">
        <v>87</v>
      </c>
      <c r="B88" s="2" t="s">
        <v>177</v>
      </c>
      <c r="C88" s="2" t="s">
        <v>192</v>
      </c>
      <c r="D88" s="5" t="s">
        <v>16</v>
      </c>
      <c r="E88" s="4" t="s">
        <v>193</v>
      </c>
      <c r="F88" s="2"/>
      <c r="G88" s="2"/>
    </row>
    <row r="89" spans="1:7" ht="15" customHeight="1" x14ac:dyDescent="0.35">
      <c r="A89" s="2">
        <v>88</v>
      </c>
      <c r="B89" s="2" t="s">
        <v>177</v>
      </c>
      <c r="C89" s="2" t="s">
        <v>194</v>
      </c>
      <c r="D89" s="5" t="s">
        <v>16</v>
      </c>
      <c r="E89" s="4" t="s">
        <v>195</v>
      </c>
      <c r="F89" s="2"/>
      <c r="G89" s="2"/>
    </row>
    <row r="90" spans="1:7" ht="15" customHeight="1" x14ac:dyDescent="0.35">
      <c r="A90" s="2">
        <v>89</v>
      </c>
      <c r="B90" s="2" t="s">
        <v>177</v>
      </c>
      <c r="C90" s="2" t="s">
        <v>196</v>
      </c>
      <c r="D90" s="5" t="s">
        <v>16</v>
      </c>
      <c r="E90" s="4" t="s">
        <v>197</v>
      </c>
      <c r="F90" s="2"/>
      <c r="G90" s="2"/>
    </row>
    <row r="91" spans="1:7" ht="15" customHeight="1" x14ac:dyDescent="0.35">
      <c r="A91" s="2">
        <v>90</v>
      </c>
      <c r="B91" s="2" t="s">
        <v>177</v>
      </c>
      <c r="C91" s="2" t="s">
        <v>198</v>
      </c>
      <c r="D91" s="5" t="s">
        <v>16</v>
      </c>
      <c r="E91" s="4" t="s">
        <v>199</v>
      </c>
      <c r="F91" s="2"/>
      <c r="G91" s="2"/>
    </row>
    <row r="92" spans="1:7" ht="15" customHeight="1" x14ac:dyDescent="0.35">
      <c r="A92" s="2">
        <v>91</v>
      </c>
      <c r="B92" s="2" t="s">
        <v>177</v>
      </c>
      <c r="C92" s="2" t="s">
        <v>200</v>
      </c>
      <c r="D92" s="5" t="s">
        <v>16</v>
      </c>
      <c r="E92" s="4" t="s">
        <v>201</v>
      </c>
      <c r="F92" s="2"/>
      <c r="G92" s="2"/>
    </row>
    <row r="93" spans="1:7" ht="15" customHeight="1" x14ac:dyDescent="0.35">
      <c r="A93" s="2">
        <v>92</v>
      </c>
      <c r="B93" s="2" t="s">
        <v>177</v>
      </c>
      <c r="C93" s="2" t="s">
        <v>202</v>
      </c>
      <c r="D93" s="6" t="s">
        <v>38</v>
      </c>
      <c r="E93" s="4" t="s">
        <v>203</v>
      </c>
      <c r="F93" s="2"/>
      <c r="G93" s="2"/>
    </row>
    <row r="94" spans="1:7" ht="15" customHeight="1" x14ac:dyDescent="0.35">
      <c r="A94" s="2">
        <v>93</v>
      </c>
      <c r="B94" s="2" t="s">
        <v>204</v>
      </c>
      <c r="C94" s="2" t="s">
        <v>205</v>
      </c>
      <c r="D94" s="6" t="s">
        <v>38</v>
      </c>
      <c r="E94" s="4" t="s">
        <v>206</v>
      </c>
      <c r="F94" s="2"/>
      <c r="G94" s="2"/>
    </row>
    <row r="95" spans="1:7" ht="15" customHeight="1" x14ac:dyDescent="0.35">
      <c r="A95" s="2">
        <v>94</v>
      </c>
      <c r="B95" s="2" t="s">
        <v>204</v>
      </c>
      <c r="C95" s="2" t="s">
        <v>207</v>
      </c>
      <c r="D95" s="5" t="s">
        <v>16</v>
      </c>
      <c r="E95" s="4" t="s">
        <v>208</v>
      </c>
      <c r="F95" s="2"/>
      <c r="G95" s="2"/>
    </row>
    <row r="96" spans="1:7" ht="15" customHeight="1" x14ac:dyDescent="0.35">
      <c r="A96" s="2">
        <v>95</v>
      </c>
      <c r="B96" s="2" t="s">
        <v>204</v>
      </c>
      <c r="C96" s="2" t="s">
        <v>209</v>
      </c>
      <c r="D96" s="5" t="s">
        <v>16</v>
      </c>
      <c r="E96" s="4" t="s">
        <v>210</v>
      </c>
      <c r="F96" s="2"/>
      <c r="G96" s="2"/>
    </row>
    <row r="97" spans="1:7" ht="15" customHeight="1" x14ac:dyDescent="0.35">
      <c r="A97" s="2">
        <v>96</v>
      </c>
      <c r="B97" s="2" t="s">
        <v>204</v>
      </c>
      <c r="C97" s="2" t="s">
        <v>211</v>
      </c>
      <c r="D97" s="6" t="s">
        <v>38</v>
      </c>
      <c r="E97" s="4" t="s">
        <v>212</v>
      </c>
      <c r="F97" s="2"/>
      <c r="G97" s="2"/>
    </row>
    <row r="98" spans="1:7" ht="15" customHeight="1" x14ac:dyDescent="0.35">
      <c r="A98" s="2">
        <v>97</v>
      </c>
      <c r="B98" s="2" t="s">
        <v>204</v>
      </c>
      <c r="C98" s="2" t="s">
        <v>213</v>
      </c>
      <c r="D98" s="6" t="s">
        <v>38</v>
      </c>
      <c r="E98" s="4" t="s">
        <v>214</v>
      </c>
      <c r="F98" s="2"/>
      <c r="G98" s="2"/>
    </row>
    <row r="99" spans="1:7" ht="15" customHeight="1" x14ac:dyDescent="0.35">
      <c r="A99" s="2">
        <v>98</v>
      </c>
      <c r="B99" s="2" t="s">
        <v>204</v>
      </c>
      <c r="C99" s="2" t="s">
        <v>215</v>
      </c>
      <c r="D99" s="5" t="s">
        <v>16</v>
      </c>
      <c r="E99" s="4" t="s">
        <v>216</v>
      </c>
      <c r="F99" s="2"/>
      <c r="G99" s="2"/>
    </row>
    <row r="100" spans="1:7" ht="15" customHeight="1" x14ac:dyDescent="0.35">
      <c r="A100" s="2">
        <v>99</v>
      </c>
      <c r="B100" s="2" t="s">
        <v>217</v>
      </c>
      <c r="C100" s="2" t="s">
        <v>218</v>
      </c>
      <c r="D100" s="3" t="s">
        <v>9</v>
      </c>
      <c r="E100" s="4" t="s">
        <v>219</v>
      </c>
      <c r="F100" s="2"/>
      <c r="G100" s="2"/>
    </row>
    <row r="101" spans="1:7" ht="15" customHeight="1" x14ac:dyDescent="0.35">
      <c r="A101" s="2">
        <v>100</v>
      </c>
      <c r="B101" s="2" t="s">
        <v>217</v>
      </c>
      <c r="C101" s="2" t="s">
        <v>220</v>
      </c>
      <c r="D101" s="3" t="s">
        <v>9</v>
      </c>
      <c r="E101" s="4" t="s">
        <v>221</v>
      </c>
      <c r="F101" s="2"/>
      <c r="G101" s="2"/>
    </row>
    <row r="102" spans="1:7" ht="15" customHeight="1" x14ac:dyDescent="0.35">
      <c r="A102" s="2">
        <v>101</v>
      </c>
      <c r="B102" s="2" t="s">
        <v>217</v>
      </c>
      <c r="C102" s="2" t="s">
        <v>222</v>
      </c>
      <c r="D102" s="5" t="s">
        <v>16</v>
      </c>
      <c r="E102" s="4" t="s">
        <v>223</v>
      </c>
      <c r="F102" s="2"/>
      <c r="G102" s="2"/>
    </row>
    <row r="103" spans="1:7" ht="15" customHeight="1" x14ac:dyDescent="0.35">
      <c r="A103" s="2">
        <v>102</v>
      </c>
      <c r="B103" s="2" t="s">
        <v>217</v>
      </c>
      <c r="C103" s="2" t="s">
        <v>224</v>
      </c>
      <c r="D103" s="5" t="s">
        <v>16</v>
      </c>
      <c r="E103" s="4" t="s">
        <v>225</v>
      </c>
      <c r="F103" s="2"/>
      <c r="G103" s="2"/>
    </row>
    <row r="104" spans="1:7" ht="15" customHeight="1" x14ac:dyDescent="0.35">
      <c r="A104" s="2">
        <v>103</v>
      </c>
      <c r="B104" s="2" t="s">
        <v>217</v>
      </c>
      <c r="C104" s="2" t="s">
        <v>226</v>
      </c>
      <c r="D104" s="5" t="s">
        <v>16</v>
      </c>
      <c r="E104" s="4" t="s">
        <v>227</v>
      </c>
      <c r="F104" s="2"/>
      <c r="G104" s="2"/>
    </row>
    <row r="105" spans="1:7" ht="15" customHeight="1" x14ac:dyDescent="0.35">
      <c r="A105" s="2">
        <v>104</v>
      </c>
      <c r="B105" s="2" t="s">
        <v>217</v>
      </c>
      <c r="C105" s="2" t="s">
        <v>228</v>
      </c>
      <c r="D105" s="5" t="s">
        <v>16</v>
      </c>
      <c r="E105" s="4" t="s">
        <v>229</v>
      </c>
      <c r="F105" s="2"/>
      <c r="G105" s="2"/>
    </row>
    <row r="106" spans="1:7" ht="15" customHeight="1" x14ac:dyDescent="0.35">
      <c r="A106" s="2">
        <v>105</v>
      </c>
      <c r="B106" s="2" t="s">
        <v>217</v>
      </c>
      <c r="C106" s="2" t="s">
        <v>230</v>
      </c>
      <c r="D106" s="5" t="s">
        <v>16</v>
      </c>
      <c r="E106" s="4" t="s">
        <v>231</v>
      </c>
      <c r="F106" s="2"/>
      <c r="G106" s="2"/>
    </row>
    <row r="107" spans="1:7" ht="15" customHeight="1" x14ac:dyDescent="0.35">
      <c r="A107" s="2">
        <v>106</v>
      </c>
      <c r="B107" s="2" t="s">
        <v>217</v>
      </c>
      <c r="C107" s="2" t="s">
        <v>232</v>
      </c>
      <c r="D107" s="5" t="s">
        <v>16</v>
      </c>
      <c r="E107" s="4" t="s">
        <v>233</v>
      </c>
      <c r="F107" s="2"/>
      <c r="G107" s="2"/>
    </row>
    <row r="108" spans="1:7" ht="15" customHeight="1" x14ac:dyDescent="0.35">
      <c r="A108" s="2">
        <v>107</v>
      </c>
      <c r="B108" s="2" t="s">
        <v>217</v>
      </c>
      <c r="C108" s="2" t="s">
        <v>234</v>
      </c>
      <c r="D108" s="5" t="s">
        <v>16</v>
      </c>
      <c r="E108" s="4" t="s">
        <v>235</v>
      </c>
      <c r="F108" s="2"/>
      <c r="G108" s="2"/>
    </row>
    <row r="109" spans="1:7" ht="15" customHeight="1" x14ac:dyDescent="0.35">
      <c r="A109" s="2">
        <v>108</v>
      </c>
      <c r="B109" s="2" t="s">
        <v>217</v>
      </c>
      <c r="C109" s="2" t="s">
        <v>236</v>
      </c>
      <c r="D109" s="5" t="s">
        <v>16</v>
      </c>
      <c r="E109" s="4" t="s">
        <v>237</v>
      </c>
      <c r="F109" s="2"/>
      <c r="G109" s="2"/>
    </row>
    <row r="110" spans="1:7" ht="15" customHeight="1" x14ac:dyDescent="0.35">
      <c r="A110" s="2">
        <v>109</v>
      </c>
      <c r="B110" s="2" t="s">
        <v>217</v>
      </c>
      <c r="C110" s="2" t="s">
        <v>238</v>
      </c>
      <c r="D110" s="5" t="s">
        <v>16</v>
      </c>
      <c r="E110" s="4" t="s">
        <v>239</v>
      </c>
      <c r="F110" s="2"/>
      <c r="G110" s="2"/>
    </row>
    <row r="111" spans="1:7" ht="15" customHeight="1" x14ac:dyDescent="0.35">
      <c r="A111" s="2">
        <v>110</v>
      </c>
      <c r="B111" s="2" t="s">
        <v>217</v>
      </c>
      <c r="C111" s="2" t="s">
        <v>240</v>
      </c>
      <c r="D111" s="5" t="s">
        <v>16</v>
      </c>
      <c r="E111" s="4" t="s">
        <v>241</v>
      </c>
      <c r="F111" s="2"/>
      <c r="G111" s="2"/>
    </row>
    <row r="112" spans="1:7" ht="15" customHeight="1" x14ac:dyDescent="0.35">
      <c r="A112" s="2">
        <v>111</v>
      </c>
      <c r="B112" s="2" t="s">
        <v>242</v>
      </c>
      <c r="C112" s="2" t="s">
        <v>243</v>
      </c>
      <c r="D112" s="5" t="s">
        <v>16</v>
      </c>
      <c r="E112" s="4" t="s">
        <v>244</v>
      </c>
      <c r="F112" s="2"/>
      <c r="G112" s="2"/>
    </row>
    <row r="113" spans="1:7" ht="15" customHeight="1" x14ac:dyDescent="0.35">
      <c r="A113" s="2">
        <v>112</v>
      </c>
      <c r="B113" s="2" t="s">
        <v>242</v>
      </c>
      <c r="C113" s="2" t="s">
        <v>245</v>
      </c>
      <c r="D113" s="5" t="s">
        <v>16</v>
      </c>
      <c r="E113" s="4" t="s">
        <v>246</v>
      </c>
      <c r="F113" s="2"/>
      <c r="G113" s="2"/>
    </row>
    <row r="114" spans="1:7" ht="15" customHeight="1" x14ac:dyDescent="0.35">
      <c r="A114" s="2">
        <v>113</v>
      </c>
      <c r="B114" s="2" t="s">
        <v>242</v>
      </c>
      <c r="C114" s="2" t="s">
        <v>247</v>
      </c>
      <c r="D114" s="5" t="s">
        <v>16</v>
      </c>
      <c r="E114" s="4" t="s">
        <v>248</v>
      </c>
      <c r="F114" s="2"/>
      <c r="G114" s="2"/>
    </row>
    <row r="115" spans="1:7" ht="15" customHeight="1" x14ac:dyDescent="0.35">
      <c r="A115" s="2">
        <v>114</v>
      </c>
      <c r="B115" s="2" t="s">
        <v>242</v>
      </c>
      <c r="C115" s="2" t="s">
        <v>249</v>
      </c>
      <c r="D115" s="5" t="s">
        <v>16</v>
      </c>
      <c r="E115" s="4" t="s">
        <v>250</v>
      </c>
      <c r="F115" s="2"/>
      <c r="G115" s="2"/>
    </row>
    <row r="116" spans="1:7" ht="15" customHeight="1" x14ac:dyDescent="0.35">
      <c r="A116" s="2">
        <v>115</v>
      </c>
      <c r="B116" s="2" t="s">
        <v>242</v>
      </c>
      <c r="C116" s="2" t="s">
        <v>251</v>
      </c>
      <c r="D116" s="5" t="s">
        <v>16</v>
      </c>
      <c r="E116" s="4" t="s">
        <v>252</v>
      </c>
      <c r="F116" s="2"/>
      <c r="G116" s="2"/>
    </row>
    <row r="117" spans="1:7" ht="15" customHeight="1" x14ac:dyDescent="0.35">
      <c r="A117" s="2">
        <v>116</v>
      </c>
      <c r="B117" s="2" t="s">
        <v>242</v>
      </c>
      <c r="C117" s="2" t="s">
        <v>253</v>
      </c>
      <c r="D117" s="5" t="s">
        <v>16</v>
      </c>
      <c r="E117" s="4" t="s">
        <v>254</v>
      </c>
      <c r="F117" s="2"/>
      <c r="G117" s="2"/>
    </row>
    <row r="118" spans="1:7" ht="15" customHeight="1" x14ac:dyDescent="0.35">
      <c r="A118" s="2">
        <v>117</v>
      </c>
      <c r="B118" s="2" t="s">
        <v>242</v>
      </c>
      <c r="C118" s="2" t="s">
        <v>255</v>
      </c>
      <c r="D118" s="6" t="s">
        <v>38</v>
      </c>
      <c r="E118" s="4" t="s">
        <v>256</v>
      </c>
      <c r="F118" s="2"/>
      <c r="G118" s="2"/>
    </row>
    <row r="119" spans="1:7" ht="15" customHeight="1" x14ac:dyDescent="0.35">
      <c r="A119" s="2">
        <v>118</v>
      </c>
      <c r="B119" s="2" t="s">
        <v>242</v>
      </c>
      <c r="C119" s="2" t="s">
        <v>257</v>
      </c>
      <c r="D119" s="6" t="s">
        <v>38</v>
      </c>
      <c r="E119" s="4" t="s">
        <v>258</v>
      </c>
      <c r="F119" s="2"/>
      <c r="G119" s="2"/>
    </row>
    <row r="120" spans="1:7" ht="15" customHeight="1" x14ac:dyDescent="0.35">
      <c r="A120" s="2">
        <v>119</v>
      </c>
      <c r="B120" s="2" t="s">
        <v>242</v>
      </c>
      <c r="C120" s="2" t="s">
        <v>259</v>
      </c>
      <c r="D120" s="5" t="s">
        <v>16</v>
      </c>
      <c r="E120" s="4" t="s">
        <v>260</v>
      </c>
      <c r="F120" s="2"/>
      <c r="G120" s="2"/>
    </row>
    <row r="121" spans="1:7" ht="15" customHeight="1" x14ac:dyDescent="0.35">
      <c r="A121" s="2">
        <v>120</v>
      </c>
      <c r="B121" s="2" t="s">
        <v>242</v>
      </c>
      <c r="C121" s="2" t="s">
        <v>261</v>
      </c>
      <c r="D121" s="6" t="s">
        <v>38</v>
      </c>
      <c r="E121" s="4" t="s">
        <v>262</v>
      </c>
      <c r="F121" s="2"/>
      <c r="G121" s="2"/>
    </row>
    <row r="122" spans="1:7" ht="15" customHeight="1" x14ac:dyDescent="0.35">
      <c r="A122" s="2">
        <v>121</v>
      </c>
      <c r="B122" s="2" t="s">
        <v>242</v>
      </c>
      <c r="C122" s="2" t="s">
        <v>263</v>
      </c>
      <c r="D122" s="6" t="s">
        <v>38</v>
      </c>
      <c r="E122" s="4" t="s">
        <v>264</v>
      </c>
      <c r="F122" s="2"/>
      <c r="G122" s="2"/>
    </row>
    <row r="123" spans="1:7" ht="15" customHeight="1" x14ac:dyDescent="0.35">
      <c r="A123" s="2">
        <v>122</v>
      </c>
      <c r="B123" s="2" t="s">
        <v>265</v>
      </c>
      <c r="C123" s="2" t="s">
        <v>266</v>
      </c>
      <c r="D123" s="5" t="s">
        <v>16</v>
      </c>
      <c r="E123" s="4" t="s">
        <v>267</v>
      </c>
      <c r="F123" s="2"/>
      <c r="G123" s="2"/>
    </row>
    <row r="124" spans="1:7" ht="15" customHeight="1" x14ac:dyDescent="0.35">
      <c r="A124" s="2">
        <v>123</v>
      </c>
      <c r="B124" s="2" t="s">
        <v>265</v>
      </c>
      <c r="C124" s="2" t="s">
        <v>268</v>
      </c>
      <c r="D124" s="5" t="s">
        <v>16</v>
      </c>
      <c r="E124" s="4" t="s">
        <v>269</v>
      </c>
      <c r="F124" s="2"/>
      <c r="G124" s="2"/>
    </row>
    <row r="125" spans="1:7" ht="15" customHeight="1" x14ac:dyDescent="0.35">
      <c r="A125" s="2">
        <v>124</v>
      </c>
      <c r="B125" s="2" t="s">
        <v>265</v>
      </c>
      <c r="C125" s="2" t="s">
        <v>270</v>
      </c>
      <c r="D125" s="5" t="s">
        <v>16</v>
      </c>
      <c r="E125" s="4" t="s">
        <v>271</v>
      </c>
      <c r="F125" s="2"/>
      <c r="G125" s="2"/>
    </row>
    <row r="126" spans="1:7" ht="15" customHeight="1" x14ac:dyDescent="0.35">
      <c r="A126" s="2">
        <v>125</v>
      </c>
      <c r="B126" s="2" t="s">
        <v>265</v>
      </c>
      <c r="C126" s="2" t="s">
        <v>272</v>
      </c>
      <c r="D126" s="5" t="s">
        <v>16</v>
      </c>
      <c r="E126" s="4" t="s">
        <v>273</v>
      </c>
      <c r="F126" s="2"/>
      <c r="G126" s="2"/>
    </row>
    <row r="127" spans="1:7" ht="15" customHeight="1" x14ac:dyDescent="0.35">
      <c r="A127" s="2">
        <v>126</v>
      </c>
      <c r="B127" s="2" t="s">
        <v>265</v>
      </c>
      <c r="C127" s="2" t="s">
        <v>274</v>
      </c>
      <c r="D127" s="5" t="s">
        <v>16</v>
      </c>
      <c r="E127" s="4" t="s">
        <v>275</v>
      </c>
      <c r="F127" s="2"/>
      <c r="G127" s="2"/>
    </row>
    <row r="128" spans="1:7" ht="15" customHeight="1" x14ac:dyDescent="0.35">
      <c r="A128" s="2">
        <v>127</v>
      </c>
      <c r="B128" s="2" t="s">
        <v>265</v>
      </c>
      <c r="C128" s="2" t="s">
        <v>276</v>
      </c>
      <c r="D128" s="5" t="s">
        <v>16</v>
      </c>
      <c r="E128" s="4" t="s">
        <v>277</v>
      </c>
      <c r="F128" s="2"/>
      <c r="G128" s="2"/>
    </row>
    <row r="129" spans="1:7" ht="15" customHeight="1" x14ac:dyDescent="0.35">
      <c r="A129" s="2">
        <v>128</v>
      </c>
      <c r="B129" s="2" t="s">
        <v>265</v>
      </c>
      <c r="C129" s="2" t="s">
        <v>278</v>
      </c>
      <c r="D129" s="5" t="s">
        <v>16</v>
      </c>
      <c r="E129" s="4" t="s">
        <v>279</v>
      </c>
      <c r="F129" s="2"/>
      <c r="G129" s="2"/>
    </row>
    <row r="130" spans="1:7" ht="15" customHeight="1" x14ac:dyDescent="0.35">
      <c r="A130" s="2">
        <v>129</v>
      </c>
      <c r="B130" s="2" t="s">
        <v>265</v>
      </c>
      <c r="C130" s="2" t="s">
        <v>280</v>
      </c>
      <c r="D130" s="5" t="s">
        <v>16</v>
      </c>
      <c r="E130" s="4" t="s">
        <v>281</v>
      </c>
      <c r="F130" s="2"/>
      <c r="G130" s="2"/>
    </row>
    <row r="131" spans="1:7" ht="15" customHeight="1" x14ac:dyDescent="0.35">
      <c r="A131" s="2">
        <v>130</v>
      </c>
      <c r="B131" s="2" t="s">
        <v>282</v>
      </c>
      <c r="C131" s="2" t="s">
        <v>283</v>
      </c>
      <c r="D131" s="5" t="s">
        <v>16</v>
      </c>
      <c r="E131" s="4" t="s">
        <v>284</v>
      </c>
      <c r="F131" s="2"/>
      <c r="G131" s="2"/>
    </row>
    <row r="132" spans="1:7" ht="15" customHeight="1" x14ac:dyDescent="0.35">
      <c r="A132" s="2">
        <v>131</v>
      </c>
      <c r="B132" s="2" t="s">
        <v>282</v>
      </c>
      <c r="C132" s="2" t="s">
        <v>285</v>
      </c>
      <c r="D132" s="5" t="s">
        <v>16</v>
      </c>
      <c r="E132" s="4" t="s">
        <v>286</v>
      </c>
      <c r="F132" s="2"/>
      <c r="G132" s="2"/>
    </row>
    <row r="133" spans="1:7" ht="15" customHeight="1" x14ac:dyDescent="0.35">
      <c r="A133" s="2">
        <v>132</v>
      </c>
      <c r="B133" s="2" t="s">
        <v>282</v>
      </c>
      <c r="C133" s="2" t="s">
        <v>287</v>
      </c>
      <c r="D133" s="5" t="s">
        <v>16</v>
      </c>
      <c r="E133" s="4" t="s">
        <v>288</v>
      </c>
      <c r="F133" s="2"/>
      <c r="G133" s="2"/>
    </row>
    <row r="134" spans="1:7" ht="15" customHeight="1" x14ac:dyDescent="0.35">
      <c r="A134" s="2">
        <v>133</v>
      </c>
      <c r="B134" s="2" t="s">
        <v>282</v>
      </c>
      <c r="C134" s="2" t="s">
        <v>289</v>
      </c>
      <c r="D134" s="3" t="s">
        <v>9</v>
      </c>
      <c r="E134" s="4" t="s">
        <v>290</v>
      </c>
      <c r="F134" s="2"/>
      <c r="G134" s="2"/>
    </row>
    <row r="135" spans="1:7" ht="15" customHeight="1" x14ac:dyDescent="0.35">
      <c r="A135" s="2">
        <v>134</v>
      </c>
      <c r="B135" s="2" t="s">
        <v>282</v>
      </c>
      <c r="C135" s="2" t="s">
        <v>291</v>
      </c>
      <c r="D135" s="5" t="s">
        <v>16</v>
      </c>
      <c r="E135" s="4" t="s">
        <v>292</v>
      </c>
      <c r="F135" s="2"/>
      <c r="G135" s="2"/>
    </row>
    <row r="136" spans="1:7" ht="15" customHeight="1" x14ac:dyDescent="0.35">
      <c r="A136" s="2">
        <v>135</v>
      </c>
      <c r="B136" s="2" t="s">
        <v>282</v>
      </c>
      <c r="C136" s="2" t="s">
        <v>293</v>
      </c>
      <c r="D136" s="6" t="s">
        <v>38</v>
      </c>
      <c r="E136" s="4" t="s">
        <v>294</v>
      </c>
      <c r="F136" s="2"/>
      <c r="G136" s="2"/>
    </row>
    <row r="137" spans="1:7" ht="15" customHeight="1" x14ac:dyDescent="0.35">
      <c r="A137" s="2">
        <v>136</v>
      </c>
      <c r="B137" s="2" t="s">
        <v>295</v>
      </c>
      <c r="C137" s="2" t="s">
        <v>296</v>
      </c>
      <c r="D137" s="5" t="s">
        <v>16</v>
      </c>
      <c r="E137" s="4" t="s">
        <v>297</v>
      </c>
      <c r="F137" s="2"/>
      <c r="G137" s="2"/>
    </row>
    <row r="138" spans="1:7" ht="15" customHeight="1" x14ac:dyDescent="0.35">
      <c r="A138" s="2">
        <v>137</v>
      </c>
      <c r="B138" s="2" t="s">
        <v>295</v>
      </c>
      <c r="C138" s="2" t="s">
        <v>298</v>
      </c>
      <c r="D138" s="5" t="s">
        <v>16</v>
      </c>
      <c r="E138" s="4" t="s">
        <v>299</v>
      </c>
      <c r="F138" s="2"/>
      <c r="G138" s="2"/>
    </row>
    <row r="139" spans="1:7" ht="15" customHeight="1" x14ac:dyDescent="0.35">
      <c r="A139" s="2">
        <v>138</v>
      </c>
      <c r="B139" s="2" t="s">
        <v>295</v>
      </c>
      <c r="C139" s="2" t="s">
        <v>300</v>
      </c>
      <c r="D139" s="5" t="s">
        <v>16</v>
      </c>
      <c r="E139" s="4" t="s">
        <v>301</v>
      </c>
      <c r="F139" s="2"/>
      <c r="G139" s="2"/>
    </row>
    <row r="140" spans="1:7" ht="15" customHeight="1" x14ac:dyDescent="0.35">
      <c r="A140" s="2">
        <v>139</v>
      </c>
      <c r="B140" s="2" t="s">
        <v>295</v>
      </c>
      <c r="C140" s="2" t="s">
        <v>302</v>
      </c>
      <c r="D140" s="3" t="s">
        <v>9</v>
      </c>
      <c r="E140" s="4" t="s">
        <v>303</v>
      </c>
      <c r="F140" s="2"/>
      <c r="G140" s="2"/>
    </row>
    <row r="141" spans="1:7" ht="15" customHeight="1" x14ac:dyDescent="0.35">
      <c r="A141" s="2">
        <v>140</v>
      </c>
      <c r="B141" s="2" t="s">
        <v>295</v>
      </c>
      <c r="C141" s="2" t="s">
        <v>304</v>
      </c>
      <c r="D141" s="3" t="s">
        <v>9</v>
      </c>
      <c r="E141" s="4" t="s">
        <v>305</v>
      </c>
      <c r="F141" s="2"/>
      <c r="G141" s="2"/>
    </row>
    <row r="142" spans="1:7" ht="15" customHeight="1" x14ac:dyDescent="0.35">
      <c r="A142" s="2">
        <v>141</v>
      </c>
      <c r="B142" s="2" t="s">
        <v>295</v>
      </c>
      <c r="C142" s="2" t="s">
        <v>306</v>
      </c>
      <c r="D142" s="5" t="s">
        <v>16</v>
      </c>
      <c r="E142" s="4" t="s">
        <v>307</v>
      </c>
      <c r="F142" s="2"/>
      <c r="G142" s="2"/>
    </row>
    <row r="143" spans="1:7" ht="15" customHeight="1" x14ac:dyDescent="0.35">
      <c r="A143" s="2">
        <v>142</v>
      </c>
      <c r="B143" s="2" t="s">
        <v>295</v>
      </c>
      <c r="C143" s="2" t="s">
        <v>308</v>
      </c>
      <c r="D143" s="5" t="s">
        <v>16</v>
      </c>
      <c r="E143" s="4" t="s">
        <v>309</v>
      </c>
      <c r="F143" s="2"/>
      <c r="G143" s="2"/>
    </row>
    <row r="144" spans="1:7" ht="15" customHeight="1" x14ac:dyDescent="0.35">
      <c r="A144" s="2">
        <v>143</v>
      </c>
      <c r="B144" s="2" t="s">
        <v>295</v>
      </c>
      <c r="C144" s="2" t="s">
        <v>310</v>
      </c>
      <c r="D144" s="5" t="s">
        <v>16</v>
      </c>
      <c r="E144" s="4" t="s">
        <v>311</v>
      </c>
      <c r="F144" s="2"/>
      <c r="G144" s="2"/>
    </row>
    <row r="145" spans="1:7" ht="15" customHeight="1" x14ac:dyDescent="0.35">
      <c r="A145" s="2">
        <v>144</v>
      </c>
      <c r="B145" s="2" t="s">
        <v>312</v>
      </c>
      <c r="C145" s="2" t="s">
        <v>313</v>
      </c>
      <c r="D145" s="3" t="s">
        <v>9</v>
      </c>
      <c r="E145" s="4" t="s">
        <v>314</v>
      </c>
      <c r="F145" s="2"/>
      <c r="G145" s="2"/>
    </row>
    <row r="146" spans="1:7" ht="15" customHeight="1" x14ac:dyDescent="0.35">
      <c r="A146" s="2">
        <v>145</v>
      </c>
      <c r="B146" s="2" t="s">
        <v>312</v>
      </c>
      <c r="C146" s="2" t="s">
        <v>315</v>
      </c>
      <c r="D146" s="3" t="s">
        <v>9</v>
      </c>
      <c r="E146" s="4" t="s">
        <v>316</v>
      </c>
      <c r="F146" s="2"/>
      <c r="G146" s="2"/>
    </row>
    <row r="147" spans="1:7" ht="15" customHeight="1" x14ac:dyDescent="0.35">
      <c r="A147" s="2">
        <v>146</v>
      </c>
      <c r="B147" s="2" t="s">
        <v>312</v>
      </c>
      <c r="C147" s="2" t="s">
        <v>317</v>
      </c>
      <c r="D147" s="3" t="s">
        <v>9</v>
      </c>
      <c r="E147" s="4" t="s">
        <v>318</v>
      </c>
      <c r="F147" s="2"/>
      <c r="G147" s="2"/>
    </row>
    <row r="148" spans="1:7" ht="15" customHeight="1" x14ac:dyDescent="0.35">
      <c r="A148" s="2">
        <v>147</v>
      </c>
      <c r="B148" s="2" t="s">
        <v>312</v>
      </c>
      <c r="C148" s="2" t="s">
        <v>319</v>
      </c>
      <c r="D148" s="3" t="s">
        <v>9</v>
      </c>
      <c r="E148" s="4" t="s">
        <v>320</v>
      </c>
      <c r="F148" s="2"/>
      <c r="G148" s="2"/>
    </row>
    <row r="149" spans="1:7" ht="15" customHeight="1" x14ac:dyDescent="0.35">
      <c r="A149" s="2">
        <v>148</v>
      </c>
      <c r="B149" s="2" t="s">
        <v>312</v>
      </c>
      <c r="C149" s="2" t="s">
        <v>321</v>
      </c>
      <c r="D149" s="3" t="s">
        <v>9</v>
      </c>
      <c r="E149" s="4" t="s">
        <v>322</v>
      </c>
      <c r="F149" s="2"/>
      <c r="G149" s="2"/>
    </row>
    <row r="150" spans="1:7" ht="15" customHeight="1" x14ac:dyDescent="0.35">
      <c r="A150" s="2">
        <v>149</v>
      </c>
      <c r="B150" s="2" t="s">
        <v>312</v>
      </c>
      <c r="C150" s="2" t="s">
        <v>323</v>
      </c>
      <c r="D150" s="5" t="s">
        <v>16</v>
      </c>
      <c r="E150" s="4" t="s">
        <v>324</v>
      </c>
      <c r="F150" s="2"/>
      <c r="G150" s="2"/>
    </row>
    <row r="151" spans="1:7" ht="15" customHeight="1" x14ac:dyDescent="0.35">
      <c r="A151" s="2">
        <v>150</v>
      </c>
      <c r="B151" s="2" t="s">
        <v>312</v>
      </c>
      <c r="C151" s="2" t="s">
        <v>325</v>
      </c>
      <c r="D151" s="5" t="s">
        <v>16</v>
      </c>
      <c r="E151" s="4" t="s">
        <v>326</v>
      </c>
      <c r="F151" s="2"/>
      <c r="G151" s="2"/>
    </row>
  </sheetData>
  <autoFilter ref="A1:G151" xr:uid="{00000000-0009-0000-0000-000000000000}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1"/>
  <sheetViews>
    <sheetView tabSelected="1" zoomScaleNormal="100" workbookViewId="0">
      <pane ySplit="1" topLeftCell="A2" activePane="bottomLeft" state="frozen"/>
      <selection pane="bottomLeft" activeCell="D5" sqref="D5"/>
    </sheetView>
  </sheetViews>
  <sheetFormatPr defaultColWidth="8.6328125" defaultRowHeight="14.5" x14ac:dyDescent="0.35"/>
  <cols>
    <col min="1" max="1" width="5" customWidth="1"/>
    <col min="2" max="2" width="32" customWidth="1"/>
    <col min="3" max="3" width="7" customWidth="1"/>
    <col min="4" max="4" width="60" customWidth="1"/>
    <col min="5" max="5" width="11" customWidth="1"/>
    <col min="6" max="6" width="65" customWidth="1"/>
    <col min="7" max="7" width="12" customWidth="1"/>
  </cols>
  <sheetData>
    <row r="1" spans="1:7" ht="21.75" customHeight="1" x14ac:dyDescent="0.35">
      <c r="A1" s="1" t="s">
        <v>0</v>
      </c>
      <c r="B1" s="1" t="s">
        <v>327</v>
      </c>
      <c r="C1" s="1" t="s">
        <v>328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9.5" customHeight="1" x14ac:dyDescent="0.35">
      <c r="A2" s="14" t="s">
        <v>329</v>
      </c>
      <c r="B2" s="14"/>
      <c r="C2" s="14"/>
      <c r="D2" s="14"/>
      <c r="E2" s="14"/>
      <c r="F2" s="14"/>
      <c r="G2" s="14"/>
    </row>
    <row r="3" spans="1:7" x14ac:dyDescent="0.35">
      <c r="A3" s="7">
        <v>1</v>
      </c>
      <c r="B3" s="2" t="s">
        <v>40</v>
      </c>
      <c r="C3" s="7">
        <v>3</v>
      </c>
      <c r="D3" s="15" t="s">
        <v>43</v>
      </c>
      <c r="E3" s="5" t="s">
        <v>16</v>
      </c>
      <c r="F3" s="4" t="s">
        <v>44</v>
      </c>
      <c r="G3" s="2"/>
    </row>
    <row r="4" spans="1:7" x14ac:dyDescent="0.35">
      <c r="A4" s="7">
        <v>1</v>
      </c>
      <c r="B4" s="2" t="s">
        <v>40</v>
      </c>
      <c r="C4" s="7">
        <v>76</v>
      </c>
      <c r="D4" s="2" t="s">
        <v>49</v>
      </c>
      <c r="E4" s="6" t="s">
        <v>38</v>
      </c>
      <c r="F4" s="4" t="s">
        <v>50</v>
      </c>
      <c r="G4" s="2"/>
    </row>
    <row r="5" spans="1:7" x14ac:dyDescent="0.35">
      <c r="A5" s="7">
        <v>1</v>
      </c>
      <c r="B5" s="2" t="s">
        <v>40</v>
      </c>
      <c r="C5" s="7">
        <v>209</v>
      </c>
      <c r="D5" s="2" t="s">
        <v>330</v>
      </c>
      <c r="E5" s="5" t="s">
        <v>16</v>
      </c>
      <c r="F5" s="4" t="s">
        <v>331</v>
      </c>
      <c r="G5" s="2"/>
    </row>
    <row r="6" spans="1:7" x14ac:dyDescent="0.35">
      <c r="A6" s="7">
        <v>1</v>
      </c>
      <c r="B6" s="2" t="s">
        <v>40</v>
      </c>
      <c r="C6" s="7">
        <v>424</v>
      </c>
      <c r="D6" s="2" t="s">
        <v>45</v>
      </c>
      <c r="E6" s="5" t="s">
        <v>16</v>
      </c>
      <c r="F6" s="4" t="s">
        <v>46</v>
      </c>
      <c r="G6" s="2"/>
    </row>
    <row r="7" spans="1:7" x14ac:dyDescent="0.35">
      <c r="A7" s="7">
        <v>1</v>
      </c>
      <c r="B7" s="2" t="s">
        <v>40</v>
      </c>
      <c r="C7" s="7">
        <v>567</v>
      </c>
      <c r="D7" s="2" t="s">
        <v>47</v>
      </c>
      <c r="E7" s="5" t="s">
        <v>16</v>
      </c>
      <c r="F7" s="4" t="s">
        <v>48</v>
      </c>
      <c r="G7" s="2"/>
    </row>
    <row r="8" spans="1:7" x14ac:dyDescent="0.35">
      <c r="A8" s="7">
        <v>1</v>
      </c>
      <c r="B8" s="2" t="s">
        <v>40</v>
      </c>
      <c r="C8" s="7">
        <v>904</v>
      </c>
      <c r="D8" s="2" t="s">
        <v>332</v>
      </c>
      <c r="E8" s="5" t="s">
        <v>16</v>
      </c>
      <c r="F8" s="4" t="s">
        <v>333</v>
      </c>
      <c r="G8" s="2"/>
    </row>
    <row r="9" spans="1:7" ht="19.5" customHeight="1" x14ac:dyDescent="0.35">
      <c r="A9" s="14" t="s">
        <v>334</v>
      </c>
      <c r="B9" s="14"/>
      <c r="C9" s="14"/>
      <c r="D9" s="14"/>
      <c r="E9" s="14"/>
      <c r="F9" s="14"/>
      <c r="G9" s="14"/>
    </row>
    <row r="10" spans="1:7" x14ac:dyDescent="0.35">
      <c r="A10" s="7">
        <v>2</v>
      </c>
      <c r="B10" s="2" t="s">
        <v>28</v>
      </c>
      <c r="C10" s="7">
        <v>11</v>
      </c>
      <c r="D10" s="2" t="s">
        <v>35</v>
      </c>
      <c r="E10" s="5" t="s">
        <v>16</v>
      </c>
      <c r="F10" s="4" t="s">
        <v>36</v>
      </c>
      <c r="G10" s="2"/>
    </row>
    <row r="11" spans="1:7" x14ac:dyDescent="0.35">
      <c r="A11" s="7">
        <v>2</v>
      </c>
      <c r="B11" s="2" t="s">
        <v>28</v>
      </c>
      <c r="C11" s="7">
        <v>15</v>
      </c>
      <c r="D11" s="2" t="s">
        <v>33</v>
      </c>
      <c r="E11" s="5" t="s">
        <v>16</v>
      </c>
      <c r="F11" s="4" t="s">
        <v>34</v>
      </c>
      <c r="G11" s="2"/>
    </row>
    <row r="12" spans="1:7" x14ac:dyDescent="0.35">
      <c r="A12" s="7">
        <v>2</v>
      </c>
      <c r="B12" s="2" t="s">
        <v>28</v>
      </c>
      <c r="C12" s="7">
        <v>16</v>
      </c>
      <c r="D12" s="2" t="s">
        <v>335</v>
      </c>
      <c r="E12" s="5" t="s">
        <v>16</v>
      </c>
      <c r="F12" s="4" t="s">
        <v>336</v>
      </c>
      <c r="G12" s="2"/>
    </row>
    <row r="13" spans="1:7" x14ac:dyDescent="0.35">
      <c r="A13" s="7">
        <v>2</v>
      </c>
      <c r="B13" s="2" t="s">
        <v>28</v>
      </c>
      <c r="C13" s="7">
        <v>18</v>
      </c>
      <c r="D13" s="2" t="s">
        <v>337</v>
      </c>
      <c r="E13" s="5" t="s">
        <v>16</v>
      </c>
      <c r="F13" s="4" t="s">
        <v>338</v>
      </c>
      <c r="G13" s="2"/>
    </row>
    <row r="14" spans="1:7" x14ac:dyDescent="0.35">
      <c r="A14" s="7">
        <v>2</v>
      </c>
      <c r="B14" s="2" t="s">
        <v>28</v>
      </c>
      <c r="C14" s="7">
        <v>42</v>
      </c>
      <c r="D14" s="2" t="s">
        <v>37</v>
      </c>
      <c r="E14" s="6" t="s">
        <v>38</v>
      </c>
      <c r="F14" s="4" t="s">
        <v>39</v>
      </c>
      <c r="G14" s="2"/>
    </row>
    <row r="15" spans="1:7" x14ac:dyDescent="0.35">
      <c r="A15" s="7">
        <v>2</v>
      </c>
      <c r="B15" s="2" t="s">
        <v>28</v>
      </c>
      <c r="C15" s="7">
        <v>167</v>
      </c>
      <c r="D15" s="2" t="s">
        <v>31</v>
      </c>
      <c r="E15" s="5" t="s">
        <v>16</v>
      </c>
      <c r="F15" s="4" t="s">
        <v>32</v>
      </c>
      <c r="G15" s="2"/>
    </row>
    <row r="16" spans="1:7" ht="19.5" customHeight="1" x14ac:dyDescent="0.35">
      <c r="A16" s="14" t="s">
        <v>339</v>
      </c>
      <c r="B16" s="14"/>
      <c r="C16" s="14"/>
      <c r="D16" s="14"/>
      <c r="E16" s="14"/>
      <c r="F16" s="14"/>
      <c r="G16" s="14"/>
    </row>
    <row r="17" spans="1:7" x14ac:dyDescent="0.35">
      <c r="A17" s="7">
        <v>3</v>
      </c>
      <c r="B17" s="2" t="s">
        <v>340</v>
      </c>
      <c r="C17" s="7">
        <v>141</v>
      </c>
      <c r="D17" s="2" t="s">
        <v>95</v>
      </c>
      <c r="E17" s="3" t="s">
        <v>9</v>
      </c>
      <c r="F17" s="4" t="s">
        <v>96</v>
      </c>
      <c r="G17" s="2"/>
    </row>
    <row r="18" spans="1:7" x14ac:dyDescent="0.35">
      <c r="A18" s="7">
        <v>3</v>
      </c>
      <c r="B18" s="2" t="s">
        <v>340</v>
      </c>
      <c r="C18" s="7">
        <v>142</v>
      </c>
      <c r="D18" s="2" t="s">
        <v>341</v>
      </c>
      <c r="E18" s="5" t="s">
        <v>16</v>
      </c>
      <c r="F18" s="4" t="s">
        <v>342</v>
      </c>
      <c r="G18" s="2"/>
    </row>
    <row r="19" spans="1:7" x14ac:dyDescent="0.35">
      <c r="A19" s="7">
        <v>3</v>
      </c>
      <c r="B19" s="2" t="s">
        <v>340</v>
      </c>
      <c r="C19" s="7">
        <v>19</v>
      </c>
      <c r="D19" s="2" t="s">
        <v>89</v>
      </c>
      <c r="E19" s="5" t="s">
        <v>16</v>
      </c>
      <c r="F19" s="4" t="s">
        <v>90</v>
      </c>
      <c r="G19" s="2"/>
    </row>
    <row r="20" spans="1:7" x14ac:dyDescent="0.35">
      <c r="A20" s="7">
        <v>3</v>
      </c>
      <c r="B20" s="2" t="s">
        <v>340</v>
      </c>
      <c r="C20" s="7">
        <v>876</v>
      </c>
      <c r="D20" s="2" t="s">
        <v>343</v>
      </c>
      <c r="E20" s="3" t="s">
        <v>9</v>
      </c>
      <c r="F20" s="4" t="s">
        <v>344</v>
      </c>
      <c r="G20" s="2"/>
    </row>
    <row r="21" spans="1:7" x14ac:dyDescent="0.35">
      <c r="A21" s="7">
        <v>3</v>
      </c>
      <c r="B21" s="2" t="s">
        <v>340</v>
      </c>
      <c r="C21" s="7">
        <v>160</v>
      </c>
      <c r="D21" s="2" t="s">
        <v>345</v>
      </c>
      <c r="E21" s="3" t="s">
        <v>9</v>
      </c>
      <c r="F21" s="4" t="s">
        <v>346</v>
      </c>
      <c r="G21" s="2"/>
    </row>
    <row r="22" spans="1:7" x14ac:dyDescent="0.35">
      <c r="A22" s="7">
        <v>3</v>
      </c>
      <c r="B22" s="2" t="s">
        <v>340</v>
      </c>
      <c r="C22" s="7">
        <v>234</v>
      </c>
      <c r="D22" s="2" t="s">
        <v>347</v>
      </c>
      <c r="E22" s="3" t="s">
        <v>9</v>
      </c>
      <c r="F22" s="4" t="s">
        <v>348</v>
      </c>
      <c r="G22" s="2"/>
    </row>
    <row r="23" spans="1:7" ht="19.5" customHeight="1" x14ac:dyDescent="0.35">
      <c r="A23" s="14" t="s">
        <v>349</v>
      </c>
      <c r="B23" s="14"/>
      <c r="C23" s="14"/>
      <c r="D23" s="14"/>
      <c r="E23" s="14"/>
      <c r="F23" s="14"/>
      <c r="G23" s="14"/>
    </row>
    <row r="24" spans="1:7" x14ac:dyDescent="0.35">
      <c r="A24" s="7">
        <v>4</v>
      </c>
      <c r="B24" s="2" t="s">
        <v>350</v>
      </c>
      <c r="C24" s="7">
        <v>33</v>
      </c>
      <c r="D24" s="2" t="s">
        <v>76</v>
      </c>
      <c r="E24" s="5" t="s">
        <v>16</v>
      </c>
      <c r="F24" s="4" t="s">
        <v>77</v>
      </c>
      <c r="G24" s="2"/>
    </row>
    <row r="25" spans="1:7" x14ac:dyDescent="0.35">
      <c r="A25" s="7">
        <v>4</v>
      </c>
      <c r="B25" s="2" t="s">
        <v>350</v>
      </c>
      <c r="C25" s="7">
        <v>34</v>
      </c>
      <c r="D25" s="2" t="s">
        <v>351</v>
      </c>
      <c r="E25" s="5" t="s">
        <v>16</v>
      </c>
      <c r="F25" s="4" t="s">
        <v>352</v>
      </c>
      <c r="G25" s="2"/>
    </row>
    <row r="26" spans="1:7" x14ac:dyDescent="0.35">
      <c r="A26" s="7">
        <v>4</v>
      </c>
      <c r="B26" s="2" t="s">
        <v>350</v>
      </c>
      <c r="C26" s="7">
        <v>35</v>
      </c>
      <c r="D26" s="2" t="s">
        <v>353</v>
      </c>
      <c r="E26" s="3" t="s">
        <v>9</v>
      </c>
      <c r="F26" s="4" t="s">
        <v>354</v>
      </c>
      <c r="G26" s="2"/>
    </row>
    <row r="27" spans="1:7" x14ac:dyDescent="0.35">
      <c r="A27" s="7">
        <v>4</v>
      </c>
      <c r="B27" s="2" t="s">
        <v>350</v>
      </c>
      <c r="C27" s="7">
        <v>153</v>
      </c>
      <c r="D27" s="2" t="s">
        <v>74</v>
      </c>
      <c r="E27" s="5" t="s">
        <v>16</v>
      </c>
      <c r="F27" s="4" t="s">
        <v>75</v>
      </c>
      <c r="G27" s="2"/>
    </row>
    <row r="28" spans="1:7" x14ac:dyDescent="0.35">
      <c r="A28" s="7">
        <v>4</v>
      </c>
      <c r="B28" s="2" t="s">
        <v>350</v>
      </c>
      <c r="C28" s="7">
        <v>162</v>
      </c>
      <c r="D28" s="2" t="s">
        <v>355</v>
      </c>
      <c r="E28" s="5" t="s">
        <v>16</v>
      </c>
      <c r="F28" s="4" t="s">
        <v>356</v>
      </c>
      <c r="G28" s="2"/>
    </row>
    <row r="29" spans="1:7" x14ac:dyDescent="0.35">
      <c r="A29" s="7">
        <v>4</v>
      </c>
      <c r="B29" s="2" t="s">
        <v>350</v>
      </c>
      <c r="C29" s="7">
        <v>704</v>
      </c>
      <c r="D29" s="2" t="s">
        <v>68</v>
      </c>
      <c r="E29" s="3" t="s">
        <v>9</v>
      </c>
      <c r="F29" s="4" t="s">
        <v>69</v>
      </c>
      <c r="G29" s="2"/>
    </row>
    <row r="30" spans="1:7" ht="19.5" customHeight="1" x14ac:dyDescent="0.35">
      <c r="A30" s="14" t="s">
        <v>357</v>
      </c>
      <c r="B30" s="14"/>
      <c r="C30" s="14"/>
      <c r="D30" s="14"/>
      <c r="E30" s="14"/>
      <c r="F30" s="14"/>
      <c r="G30" s="14"/>
    </row>
    <row r="31" spans="1:7" x14ac:dyDescent="0.35">
      <c r="A31" s="7">
        <v>5</v>
      </c>
      <c r="B31" s="2" t="s">
        <v>358</v>
      </c>
      <c r="C31" s="7">
        <v>875</v>
      </c>
      <c r="D31" s="2" t="s">
        <v>72</v>
      </c>
      <c r="E31" s="5" t="s">
        <v>16</v>
      </c>
      <c r="F31" s="4" t="s">
        <v>73</v>
      </c>
      <c r="G31" s="2"/>
    </row>
    <row r="32" spans="1:7" x14ac:dyDescent="0.35">
      <c r="A32" s="7">
        <v>5</v>
      </c>
      <c r="B32" s="2" t="s">
        <v>358</v>
      </c>
      <c r="C32" s="7">
        <v>1011</v>
      </c>
      <c r="D32" s="2" t="s">
        <v>359</v>
      </c>
      <c r="E32" s="5" t="s">
        <v>16</v>
      </c>
      <c r="F32" s="4" t="s">
        <v>360</v>
      </c>
      <c r="G32" s="2"/>
    </row>
    <row r="33" spans="1:7" x14ac:dyDescent="0.35">
      <c r="A33" s="7">
        <v>5</v>
      </c>
      <c r="B33" s="2" t="s">
        <v>358</v>
      </c>
      <c r="C33" s="7">
        <v>410</v>
      </c>
      <c r="D33" s="2" t="s">
        <v>361</v>
      </c>
      <c r="E33" s="6" t="s">
        <v>38</v>
      </c>
      <c r="F33" s="4" t="s">
        <v>362</v>
      </c>
      <c r="G33" s="2"/>
    </row>
    <row r="34" spans="1:7" x14ac:dyDescent="0.35">
      <c r="A34" s="7">
        <v>5</v>
      </c>
      <c r="B34" s="2" t="s">
        <v>358</v>
      </c>
      <c r="C34" s="7">
        <v>774</v>
      </c>
      <c r="D34" s="2" t="s">
        <v>363</v>
      </c>
      <c r="E34" s="6" t="s">
        <v>38</v>
      </c>
      <c r="F34" s="4" t="s">
        <v>364</v>
      </c>
      <c r="G34" s="2"/>
    </row>
    <row r="35" spans="1:7" x14ac:dyDescent="0.35">
      <c r="A35" s="7">
        <v>5</v>
      </c>
      <c r="B35" s="2" t="s">
        <v>358</v>
      </c>
      <c r="C35" s="7">
        <v>1283</v>
      </c>
      <c r="D35" s="2" t="s">
        <v>365</v>
      </c>
      <c r="E35" s="5" t="s">
        <v>16</v>
      </c>
      <c r="F35" s="4" t="s">
        <v>366</v>
      </c>
      <c r="G35" s="2"/>
    </row>
    <row r="36" spans="1:7" x14ac:dyDescent="0.35">
      <c r="A36" s="7">
        <v>5</v>
      </c>
      <c r="B36" s="2" t="s">
        <v>358</v>
      </c>
      <c r="C36" s="7">
        <v>1482</v>
      </c>
      <c r="D36" s="2" t="s">
        <v>367</v>
      </c>
      <c r="E36" s="5" t="s">
        <v>16</v>
      </c>
      <c r="F36" s="4" t="s">
        <v>368</v>
      </c>
      <c r="G36" s="2"/>
    </row>
    <row r="37" spans="1:7" ht="19.5" customHeight="1" x14ac:dyDescent="0.35">
      <c r="A37" s="14" t="s">
        <v>369</v>
      </c>
      <c r="B37" s="14"/>
      <c r="C37" s="14"/>
      <c r="D37" s="14"/>
      <c r="E37" s="14"/>
      <c r="F37" s="14"/>
      <c r="G37" s="14"/>
    </row>
    <row r="38" spans="1:7" x14ac:dyDescent="0.35">
      <c r="A38" s="7">
        <v>6</v>
      </c>
      <c r="B38" s="2" t="s">
        <v>370</v>
      </c>
      <c r="C38" s="7">
        <v>1</v>
      </c>
      <c r="D38" s="2" t="s">
        <v>13</v>
      </c>
      <c r="E38" s="3" t="s">
        <v>9</v>
      </c>
      <c r="F38" s="4" t="s">
        <v>14</v>
      </c>
      <c r="G38" s="2"/>
    </row>
    <row r="39" spans="1:7" x14ac:dyDescent="0.35">
      <c r="A39" s="7">
        <v>6</v>
      </c>
      <c r="B39" s="2" t="s">
        <v>370</v>
      </c>
      <c r="C39" s="7">
        <v>49</v>
      </c>
      <c r="D39" s="2" t="s">
        <v>15</v>
      </c>
      <c r="E39" s="5" t="s">
        <v>16</v>
      </c>
      <c r="F39" s="4" t="s">
        <v>17</v>
      </c>
      <c r="G39" s="2"/>
    </row>
    <row r="40" spans="1:7" x14ac:dyDescent="0.35">
      <c r="A40" s="7">
        <v>6</v>
      </c>
      <c r="B40" s="2" t="s">
        <v>370</v>
      </c>
      <c r="C40" s="7">
        <v>128</v>
      </c>
      <c r="D40" s="2" t="s">
        <v>26</v>
      </c>
      <c r="E40" s="5" t="s">
        <v>16</v>
      </c>
      <c r="F40" s="4" t="s">
        <v>27</v>
      </c>
      <c r="G40" s="2"/>
    </row>
    <row r="41" spans="1:7" x14ac:dyDescent="0.35">
      <c r="A41" s="7">
        <v>6</v>
      </c>
      <c r="B41" s="2" t="s">
        <v>370</v>
      </c>
      <c r="C41" s="7">
        <v>217</v>
      </c>
      <c r="D41" s="2" t="s">
        <v>8</v>
      </c>
      <c r="E41" s="3" t="s">
        <v>9</v>
      </c>
      <c r="F41" s="4" t="s">
        <v>10</v>
      </c>
      <c r="G41" s="2"/>
    </row>
    <row r="42" spans="1:7" x14ac:dyDescent="0.35">
      <c r="A42" s="7">
        <v>6</v>
      </c>
      <c r="B42" s="2" t="s">
        <v>370</v>
      </c>
      <c r="C42" s="7">
        <v>242</v>
      </c>
      <c r="D42" s="2" t="s">
        <v>11</v>
      </c>
      <c r="E42" s="3" t="s">
        <v>9</v>
      </c>
      <c r="F42" s="4" t="s">
        <v>12</v>
      </c>
      <c r="G42" s="2"/>
    </row>
    <row r="43" spans="1:7" x14ac:dyDescent="0.35">
      <c r="A43" s="7">
        <v>6</v>
      </c>
      <c r="B43" s="2" t="s">
        <v>370</v>
      </c>
      <c r="C43" s="7">
        <v>347</v>
      </c>
      <c r="D43" s="2" t="s">
        <v>18</v>
      </c>
      <c r="E43" s="5" t="s">
        <v>16</v>
      </c>
      <c r="F43" s="4" t="s">
        <v>19</v>
      </c>
      <c r="G43" s="2"/>
    </row>
    <row r="44" spans="1:7" ht="19.5" customHeight="1" x14ac:dyDescent="0.35">
      <c r="A44" s="14" t="s">
        <v>371</v>
      </c>
      <c r="B44" s="14"/>
      <c r="C44" s="14"/>
      <c r="D44" s="14"/>
      <c r="E44" s="14"/>
      <c r="F44" s="14"/>
      <c r="G44" s="14"/>
    </row>
    <row r="45" spans="1:7" x14ac:dyDescent="0.35">
      <c r="A45" s="7">
        <v>7</v>
      </c>
      <c r="B45" s="2" t="s">
        <v>372</v>
      </c>
      <c r="C45" s="7">
        <v>303</v>
      </c>
      <c r="D45" s="2" t="s">
        <v>373</v>
      </c>
      <c r="E45" s="3" t="s">
        <v>9</v>
      </c>
      <c r="F45" s="4" t="s">
        <v>374</v>
      </c>
      <c r="G45" s="2"/>
    </row>
    <row r="46" spans="1:7" x14ac:dyDescent="0.35">
      <c r="A46" s="7">
        <v>7</v>
      </c>
      <c r="B46" s="2" t="s">
        <v>372</v>
      </c>
      <c r="C46" s="7">
        <v>560</v>
      </c>
      <c r="D46" s="2" t="s">
        <v>375</v>
      </c>
      <c r="E46" s="5" t="s">
        <v>16</v>
      </c>
      <c r="F46" s="4" t="s">
        <v>376</v>
      </c>
      <c r="G46" s="2"/>
    </row>
    <row r="47" spans="1:7" x14ac:dyDescent="0.35">
      <c r="A47" s="7">
        <v>7</v>
      </c>
      <c r="B47" s="2" t="s">
        <v>372</v>
      </c>
      <c r="C47" s="7">
        <v>724</v>
      </c>
      <c r="D47" s="2" t="s">
        <v>377</v>
      </c>
      <c r="E47" s="3" t="s">
        <v>9</v>
      </c>
      <c r="F47" s="4" t="s">
        <v>378</v>
      </c>
      <c r="G47" s="2"/>
    </row>
    <row r="48" spans="1:7" x14ac:dyDescent="0.35">
      <c r="A48" s="7">
        <v>7</v>
      </c>
      <c r="B48" s="2" t="s">
        <v>372</v>
      </c>
      <c r="C48" s="7">
        <v>930</v>
      </c>
      <c r="D48" s="2" t="s">
        <v>379</v>
      </c>
      <c r="E48" s="5" t="s">
        <v>16</v>
      </c>
      <c r="F48" s="4" t="s">
        <v>380</v>
      </c>
      <c r="G48" s="2"/>
    </row>
    <row r="49" spans="1:7" x14ac:dyDescent="0.35">
      <c r="A49" s="7">
        <v>7</v>
      </c>
      <c r="B49" s="2" t="s">
        <v>372</v>
      </c>
      <c r="C49" s="7">
        <v>974</v>
      </c>
      <c r="D49" s="2" t="s">
        <v>381</v>
      </c>
      <c r="E49" s="5" t="s">
        <v>16</v>
      </c>
      <c r="F49" s="4" t="s">
        <v>382</v>
      </c>
      <c r="G49" s="2"/>
    </row>
    <row r="50" spans="1:7" x14ac:dyDescent="0.35">
      <c r="A50" s="7">
        <v>7</v>
      </c>
      <c r="B50" s="2" t="s">
        <v>372</v>
      </c>
      <c r="C50" s="7">
        <v>523</v>
      </c>
      <c r="D50" s="2" t="s">
        <v>383</v>
      </c>
      <c r="E50" s="5" t="s">
        <v>16</v>
      </c>
      <c r="F50" s="4" t="s">
        <v>384</v>
      </c>
      <c r="G50" s="2"/>
    </row>
    <row r="51" spans="1:7" ht="19.5" customHeight="1" x14ac:dyDescent="0.35">
      <c r="A51" s="14" t="s">
        <v>385</v>
      </c>
      <c r="B51" s="14"/>
      <c r="C51" s="14"/>
      <c r="D51" s="14"/>
      <c r="E51" s="14"/>
      <c r="F51" s="14"/>
      <c r="G51" s="14"/>
    </row>
    <row r="52" spans="1:7" x14ac:dyDescent="0.35">
      <c r="A52" s="7">
        <v>8</v>
      </c>
      <c r="B52" s="2" t="s">
        <v>386</v>
      </c>
      <c r="C52" s="7">
        <v>370</v>
      </c>
      <c r="D52" s="2" t="s">
        <v>387</v>
      </c>
      <c r="E52" s="5" t="s">
        <v>16</v>
      </c>
      <c r="F52" s="4" t="s">
        <v>388</v>
      </c>
      <c r="G52" s="2"/>
    </row>
    <row r="53" spans="1:7" x14ac:dyDescent="0.35">
      <c r="A53" s="7">
        <v>8</v>
      </c>
      <c r="B53" s="2" t="s">
        <v>386</v>
      </c>
      <c r="C53" s="7">
        <v>1094</v>
      </c>
      <c r="D53" s="2" t="s">
        <v>389</v>
      </c>
      <c r="E53" s="5" t="s">
        <v>16</v>
      </c>
      <c r="F53" s="4" t="s">
        <v>390</v>
      </c>
      <c r="G53" s="2"/>
    </row>
    <row r="54" spans="1:7" x14ac:dyDescent="0.35">
      <c r="A54" s="7">
        <v>8</v>
      </c>
      <c r="B54" s="2" t="s">
        <v>386</v>
      </c>
      <c r="C54" s="7">
        <v>1109</v>
      </c>
      <c r="D54" s="2" t="s">
        <v>391</v>
      </c>
      <c r="E54" s="5" t="s">
        <v>16</v>
      </c>
      <c r="F54" s="4" t="s">
        <v>392</v>
      </c>
      <c r="G54" s="2"/>
    </row>
    <row r="55" spans="1:7" x14ac:dyDescent="0.35">
      <c r="A55" s="7">
        <v>8</v>
      </c>
      <c r="B55" s="2" t="s">
        <v>386</v>
      </c>
      <c r="C55" s="7">
        <v>1893</v>
      </c>
      <c r="D55" s="2" t="s">
        <v>393</v>
      </c>
      <c r="E55" s="3" t="s">
        <v>9</v>
      </c>
      <c r="F55" s="4" t="s">
        <v>394</v>
      </c>
      <c r="G55" s="2"/>
    </row>
    <row r="56" spans="1:7" x14ac:dyDescent="0.35">
      <c r="A56" s="7">
        <v>8</v>
      </c>
      <c r="B56" s="2" t="s">
        <v>386</v>
      </c>
      <c r="C56" s="7">
        <v>1943</v>
      </c>
      <c r="D56" s="2" t="s">
        <v>395</v>
      </c>
      <c r="E56" s="5" t="s">
        <v>16</v>
      </c>
      <c r="F56" s="4" t="s">
        <v>396</v>
      </c>
      <c r="G56" s="2"/>
    </row>
    <row r="57" spans="1:7" x14ac:dyDescent="0.35">
      <c r="A57" s="7">
        <v>8</v>
      </c>
      <c r="B57" s="2" t="s">
        <v>386</v>
      </c>
      <c r="C57" s="7">
        <v>2381</v>
      </c>
      <c r="D57" s="2" t="s">
        <v>397</v>
      </c>
      <c r="E57" s="5" t="s">
        <v>16</v>
      </c>
      <c r="F57" s="4" t="s">
        <v>398</v>
      </c>
      <c r="G57" s="2"/>
    </row>
    <row r="58" spans="1:7" ht="19.5" customHeight="1" x14ac:dyDescent="0.35">
      <c r="A58" s="14" t="s">
        <v>399</v>
      </c>
      <c r="B58" s="14"/>
      <c r="C58" s="14"/>
      <c r="D58" s="14"/>
      <c r="E58" s="14"/>
      <c r="F58" s="14"/>
      <c r="G58" s="14"/>
    </row>
    <row r="59" spans="1:7" x14ac:dyDescent="0.35">
      <c r="A59" s="7">
        <v>9</v>
      </c>
      <c r="B59" s="2" t="s">
        <v>400</v>
      </c>
      <c r="C59" s="7">
        <v>739</v>
      </c>
      <c r="D59" s="2" t="s">
        <v>62</v>
      </c>
      <c r="E59" s="5" t="s">
        <v>16</v>
      </c>
      <c r="F59" s="4" t="s">
        <v>63</v>
      </c>
      <c r="G59" s="2"/>
    </row>
    <row r="60" spans="1:7" x14ac:dyDescent="0.35">
      <c r="A60" s="7">
        <v>9</v>
      </c>
      <c r="B60" s="2" t="s">
        <v>400</v>
      </c>
      <c r="C60" s="7">
        <v>496</v>
      </c>
      <c r="D60" s="2" t="s">
        <v>401</v>
      </c>
      <c r="E60" s="3" t="s">
        <v>9</v>
      </c>
      <c r="F60" s="4" t="s">
        <v>402</v>
      </c>
      <c r="G60" s="2"/>
    </row>
    <row r="61" spans="1:7" x14ac:dyDescent="0.35">
      <c r="A61" s="7">
        <v>9</v>
      </c>
      <c r="B61" s="2" t="s">
        <v>400</v>
      </c>
      <c r="C61" s="7">
        <v>503</v>
      </c>
      <c r="D61" s="2" t="s">
        <v>403</v>
      </c>
      <c r="E61" s="5" t="s">
        <v>16</v>
      </c>
      <c r="F61" s="4" t="s">
        <v>404</v>
      </c>
      <c r="G61" s="2"/>
    </row>
    <row r="62" spans="1:7" x14ac:dyDescent="0.35">
      <c r="A62" s="7">
        <v>9</v>
      </c>
      <c r="B62" s="2" t="s">
        <v>400</v>
      </c>
      <c r="C62" s="7">
        <v>84</v>
      </c>
      <c r="D62" s="2" t="s">
        <v>66</v>
      </c>
      <c r="E62" s="6" t="s">
        <v>38</v>
      </c>
      <c r="F62" s="4" t="s">
        <v>67</v>
      </c>
      <c r="G62" s="2"/>
    </row>
    <row r="63" spans="1:7" x14ac:dyDescent="0.35">
      <c r="A63" s="7">
        <v>9</v>
      </c>
      <c r="B63" s="2" t="s">
        <v>400</v>
      </c>
      <c r="C63" s="7">
        <v>85</v>
      </c>
      <c r="D63" s="2" t="s">
        <v>405</v>
      </c>
      <c r="E63" s="6" t="s">
        <v>38</v>
      </c>
      <c r="F63" s="4" t="s">
        <v>406</v>
      </c>
      <c r="G63" s="2"/>
    </row>
    <row r="64" spans="1:7" x14ac:dyDescent="0.35">
      <c r="A64" s="7">
        <v>9</v>
      </c>
      <c r="B64" s="2" t="s">
        <v>400</v>
      </c>
      <c r="C64" s="7">
        <v>901</v>
      </c>
      <c r="D64" s="2" t="s">
        <v>407</v>
      </c>
      <c r="E64" s="5" t="s">
        <v>16</v>
      </c>
      <c r="F64" s="4" t="s">
        <v>408</v>
      </c>
      <c r="G64" s="2"/>
    </row>
    <row r="65" spans="1:7" ht="19.5" customHeight="1" x14ac:dyDescent="0.35">
      <c r="A65" s="14" t="s">
        <v>409</v>
      </c>
      <c r="B65" s="14"/>
      <c r="C65" s="14"/>
      <c r="D65" s="14"/>
      <c r="E65" s="14"/>
      <c r="F65" s="14"/>
      <c r="G65" s="14"/>
    </row>
    <row r="66" spans="1:7" x14ac:dyDescent="0.35">
      <c r="A66" s="7">
        <v>10</v>
      </c>
      <c r="B66" s="2" t="s">
        <v>410</v>
      </c>
      <c r="C66" s="7">
        <v>239</v>
      </c>
      <c r="D66" s="2" t="s">
        <v>51</v>
      </c>
      <c r="E66" s="6" t="s">
        <v>38</v>
      </c>
      <c r="F66" s="4" t="s">
        <v>52</v>
      </c>
      <c r="G66" s="2"/>
    </row>
    <row r="67" spans="1:7" x14ac:dyDescent="0.35">
      <c r="A67" s="7">
        <v>10</v>
      </c>
      <c r="B67" s="2" t="s">
        <v>410</v>
      </c>
      <c r="C67" s="7">
        <v>862</v>
      </c>
      <c r="D67" s="2" t="s">
        <v>411</v>
      </c>
      <c r="E67" s="6" t="s">
        <v>38</v>
      </c>
      <c r="F67" s="4" t="s">
        <v>412</v>
      </c>
      <c r="G67" s="2"/>
    </row>
    <row r="68" spans="1:7" x14ac:dyDescent="0.35">
      <c r="A68" s="7">
        <v>10</v>
      </c>
      <c r="B68" s="2" t="s">
        <v>410</v>
      </c>
      <c r="C68" s="7">
        <v>1425</v>
      </c>
      <c r="D68" s="2" t="s">
        <v>413</v>
      </c>
      <c r="E68" s="6" t="s">
        <v>38</v>
      </c>
      <c r="F68" s="4" t="s">
        <v>414</v>
      </c>
      <c r="G68" s="2"/>
    </row>
    <row r="69" spans="1:7" x14ac:dyDescent="0.35">
      <c r="A69" s="7">
        <v>10</v>
      </c>
      <c r="B69" s="2" t="s">
        <v>410</v>
      </c>
      <c r="C69" s="7">
        <v>1438</v>
      </c>
      <c r="D69" s="2" t="s">
        <v>415</v>
      </c>
      <c r="E69" s="5" t="s">
        <v>16</v>
      </c>
      <c r="F69" s="4" t="s">
        <v>416</v>
      </c>
      <c r="G69" s="2"/>
    </row>
    <row r="70" spans="1:7" x14ac:dyDescent="0.35">
      <c r="A70" s="7">
        <v>10</v>
      </c>
      <c r="B70" s="2" t="s">
        <v>410</v>
      </c>
      <c r="C70" s="7">
        <v>1499</v>
      </c>
      <c r="D70" s="2" t="s">
        <v>417</v>
      </c>
      <c r="E70" s="6" t="s">
        <v>38</v>
      </c>
      <c r="F70" s="4" t="s">
        <v>418</v>
      </c>
      <c r="G70" s="2"/>
    </row>
    <row r="71" spans="1:7" x14ac:dyDescent="0.35">
      <c r="A71" s="7">
        <v>10</v>
      </c>
      <c r="B71" s="2" t="s">
        <v>410</v>
      </c>
      <c r="C71" s="7">
        <v>1696</v>
      </c>
      <c r="D71" s="2" t="s">
        <v>419</v>
      </c>
      <c r="E71" s="5" t="s">
        <v>16</v>
      </c>
      <c r="F71" s="4" t="s">
        <v>420</v>
      </c>
      <c r="G71" s="2"/>
    </row>
    <row r="72" spans="1:7" ht="19.5" customHeight="1" x14ac:dyDescent="0.35">
      <c r="A72" s="14" t="s">
        <v>421</v>
      </c>
      <c r="B72" s="14"/>
      <c r="C72" s="14"/>
      <c r="D72" s="14"/>
      <c r="E72" s="14"/>
      <c r="F72" s="14"/>
      <c r="G72" s="14"/>
    </row>
    <row r="73" spans="1:7" x14ac:dyDescent="0.35">
      <c r="A73" s="7">
        <v>11</v>
      </c>
      <c r="B73" s="2" t="s">
        <v>422</v>
      </c>
      <c r="C73" s="7">
        <v>215</v>
      </c>
      <c r="D73" s="2" t="s">
        <v>150</v>
      </c>
      <c r="E73" s="5" t="s">
        <v>16</v>
      </c>
      <c r="F73" s="4" t="s">
        <v>151</v>
      </c>
      <c r="G73" s="2"/>
    </row>
    <row r="74" spans="1:7" x14ac:dyDescent="0.35">
      <c r="A74" s="7">
        <v>11</v>
      </c>
      <c r="B74" s="2" t="s">
        <v>422</v>
      </c>
      <c r="C74" s="7">
        <v>347</v>
      </c>
      <c r="D74" s="2" t="s">
        <v>18</v>
      </c>
      <c r="E74" s="5" t="s">
        <v>16</v>
      </c>
      <c r="F74" s="4" t="s">
        <v>19</v>
      </c>
      <c r="G74" s="2"/>
    </row>
    <row r="75" spans="1:7" x14ac:dyDescent="0.35">
      <c r="A75" s="7">
        <v>11</v>
      </c>
      <c r="B75" s="2" t="s">
        <v>422</v>
      </c>
      <c r="C75" s="7">
        <v>692</v>
      </c>
      <c r="D75" s="2" t="s">
        <v>423</v>
      </c>
      <c r="E75" s="5" t="s">
        <v>16</v>
      </c>
      <c r="F75" s="4" t="s">
        <v>424</v>
      </c>
      <c r="G75" s="2"/>
    </row>
    <row r="76" spans="1:7" x14ac:dyDescent="0.35">
      <c r="A76" s="7">
        <v>11</v>
      </c>
      <c r="B76" s="2" t="s">
        <v>422</v>
      </c>
      <c r="C76" s="7">
        <v>703</v>
      </c>
      <c r="D76" s="2" t="s">
        <v>144</v>
      </c>
      <c r="E76" s="3" t="s">
        <v>9</v>
      </c>
      <c r="F76" s="4" t="s">
        <v>145</v>
      </c>
      <c r="G76" s="2"/>
    </row>
    <row r="77" spans="1:7" x14ac:dyDescent="0.35">
      <c r="A77" s="7">
        <v>11</v>
      </c>
      <c r="B77" s="2" t="s">
        <v>422</v>
      </c>
      <c r="C77" s="7">
        <v>973</v>
      </c>
      <c r="D77" s="2" t="s">
        <v>148</v>
      </c>
      <c r="E77" s="5" t="s">
        <v>16</v>
      </c>
      <c r="F77" s="4" t="s">
        <v>149</v>
      </c>
      <c r="G77" s="2"/>
    </row>
    <row r="78" spans="1:7" x14ac:dyDescent="0.35">
      <c r="A78" s="7">
        <v>11</v>
      </c>
      <c r="B78" s="2" t="s">
        <v>422</v>
      </c>
      <c r="C78" s="7">
        <v>1046</v>
      </c>
      <c r="D78" s="2" t="s">
        <v>146</v>
      </c>
      <c r="E78" s="3" t="s">
        <v>9</v>
      </c>
      <c r="F78" s="4" t="s">
        <v>147</v>
      </c>
      <c r="G78" s="2"/>
    </row>
    <row r="79" spans="1:7" ht="19.5" customHeight="1" x14ac:dyDescent="0.35">
      <c r="A79" s="14" t="s">
        <v>425</v>
      </c>
      <c r="B79" s="14"/>
      <c r="C79" s="14"/>
      <c r="D79" s="14"/>
      <c r="E79" s="14"/>
      <c r="F79" s="14"/>
      <c r="G79" s="14"/>
    </row>
    <row r="80" spans="1:7" x14ac:dyDescent="0.35">
      <c r="A80" s="7">
        <v>12</v>
      </c>
      <c r="B80" s="2" t="s">
        <v>282</v>
      </c>
      <c r="C80" s="7">
        <v>56</v>
      </c>
      <c r="D80" s="2" t="s">
        <v>285</v>
      </c>
      <c r="E80" s="5" t="s">
        <v>16</v>
      </c>
      <c r="F80" s="4" t="s">
        <v>286</v>
      </c>
      <c r="G80" s="2"/>
    </row>
    <row r="81" spans="1:7" x14ac:dyDescent="0.35">
      <c r="A81" s="7">
        <v>12</v>
      </c>
      <c r="B81" s="2" t="s">
        <v>282</v>
      </c>
      <c r="C81" s="7">
        <v>57</v>
      </c>
      <c r="D81" s="2" t="s">
        <v>283</v>
      </c>
      <c r="E81" s="5" t="s">
        <v>16</v>
      </c>
      <c r="F81" s="4" t="s">
        <v>284</v>
      </c>
      <c r="G81" s="2"/>
    </row>
    <row r="82" spans="1:7" x14ac:dyDescent="0.35">
      <c r="A82" s="7">
        <v>12</v>
      </c>
      <c r="B82" s="2" t="s">
        <v>282</v>
      </c>
      <c r="C82" s="7">
        <v>252</v>
      </c>
      <c r="D82" s="2" t="s">
        <v>289</v>
      </c>
      <c r="E82" s="3" t="s">
        <v>9</v>
      </c>
      <c r="F82" s="4" t="s">
        <v>290</v>
      </c>
      <c r="G82" s="2"/>
    </row>
    <row r="83" spans="1:7" x14ac:dyDescent="0.35">
      <c r="A83" s="7">
        <v>12</v>
      </c>
      <c r="B83" s="2" t="s">
        <v>282</v>
      </c>
      <c r="C83" s="7">
        <v>253</v>
      </c>
      <c r="D83" s="2" t="s">
        <v>291</v>
      </c>
      <c r="E83" s="5" t="s">
        <v>16</v>
      </c>
      <c r="F83" s="4" t="s">
        <v>292</v>
      </c>
      <c r="G83" s="2"/>
    </row>
    <row r="84" spans="1:7" x14ac:dyDescent="0.35">
      <c r="A84" s="7">
        <v>12</v>
      </c>
      <c r="B84" s="2" t="s">
        <v>282</v>
      </c>
      <c r="C84" s="7">
        <v>435</v>
      </c>
      <c r="D84" s="2" t="s">
        <v>287</v>
      </c>
      <c r="E84" s="5" t="s">
        <v>16</v>
      </c>
      <c r="F84" s="4" t="s">
        <v>288</v>
      </c>
      <c r="G84" s="2"/>
    </row>
    <row r="85" spans="1:7" x14ac:dyDescent="0.35">
      <c r="A85" s="7">
        <v>12</v>
      </c>
      <c r="B85" s="2" t="s">
        <v>282</v>
      </c>
      <c r="C85" s="7">
        <v>452</v>
      </c>
      <c r="D85" s="2" t="s">
        <v>426</v>
      </c>
      <c r="E85" s="5" t="s">
        <v>16</v>
      </c>
      <c r="F85" s="4" t="s">
        <v>427</v>
      </c>
      <c r="G85" s="2"/>
    </row>
    <row r="86" spans="1:7" ht="19.5" customHeight="1" x14ac:dyDescent="0.35">
      <c r="A86" s="14" t="s">
        <v>428</v>
      </c>
      <c r="B86" s="14"/>
      <c r="C86" s="14"/>
      <c r="D86" s="14"/>
      <c r="E86" s="14"/>
      <c r="F86" s="14"/>
      <c r="G86" s="14"/>
    </row>
    <row r="87" spans="1:7" x14ac:dyDescent="0.35">
      <c r="A87" s="7">
        <v>13</v>
      </c>
      <c r="B87" s="2" t="s">
        <v>429</v>
      </c>
      <c r="C87" s="7">
        <v>45</v>
      </c>
      <c r="D87" s="2" t="s">
        <v>270</v>
      </c>
      <c r="E87" s="5" t="s">
        <v>16</v>
      </c>
      <c r="F87" s="4" t="s">
        <v>271</v>
      </c>
      <c r="G87" s="2"/>
    </row>
    <row r="88" spans="1:7" x14ac:dyDescent="0.35">
      <c r="A88" s="7">
        <v>13</v>
      </c>
      <c r="B88" s="2" t="s">
        <v>429</v>
      </c>
      <c r="C88" s="7">
        <v>55</v>
      </c>
      <c r="D88" s="2" t="s">
        <v>268</v>
      </c>
      <c r="E88" s="5" t="s">
        <v>16</v>
      </c>
      <c r="F88" s="4" t="s">
        <v>269</v>
      </c>
      <c r="G88" s="2"/>
    </row>
    <row r="89" spans="1:7" x14ac:dyDescent="0.35">
      <c r="A89" s="7">
        <v>13</v>
      </c>
      <c r="B89" s="2" t="s">
        <v>429</v>
      </c>
      <c r="C89" s="7">
        <v>406</v>
      </c>
      <c r="D89" s="2" t="s">
        <v>430</v>
      </c>
      <c r="E89" s="5" t="s">
        <v>16</v>
      </c>
      <c r="F89" s="4" t="s">
        <v>431</v>
      </c>
      <c r="G89" s="2"/>
    </row>
    <row r="90" spans="1:7" x14ac:dyDescent="0.35">
      <c r="A90" s="7">
        <v>13</v>
      </c>
      <c r="B90" s="2" t="s">
        <v>429</v>
      </c>
      <c r="C90" s="7">
        <v>621</v>
      </c>
      <c r="D90" s="2" t="s">
        <v>152</v>
      </c>
      <c r="E90" s="5" t="s">
        <v>16</v>
      </c>
      <c r="F90" s="4" t="s">
        <v>153</v>
      </c>
      <c r="G90" s="2"/>
    </row>
    <row r="91" spans="1:7" x14ac:dyDescent="0.35">
      <c r="A91" s="7">
        <v>13</v>
      </c>
      <c r="B91" s="2" t="s">
        <v>429</v>
      </c>
      <c r="C91" s="7">
        <v>763</v>
      </c>
      <c r="D91" s="2" t="s">
        <v>278</v>
      </c>
      <c r="E91" s="5" t="s">
        <v>16</v>
      </c>
      <c r="F91" s="4" t="s">
        <v>279</v>
      </c>
      <c r="G91" s="2"/>
    </row>
    <row r="92" spans="1:7" x14ac:dyDescent="0.35">
      <c r="A92" s="7">
        <v>13</v>
      </c>
      <c r="B92" s="2" t="s">
        <v>429</v>
      </c>
      <c r="C92" s="7">
        <v>134</v>
      </c>
      <c r="D92" s="2" t="s">
        <v>272</v>
      </c>
      <c r="E92" s="5" t="s">
        <v>16</v>
      </c>
      <c r="F92" s="4" t="s">
        <v>273</v>
      </c>
      <c r="G92" s="2"/>
    </row>
    <row r="93" spans="1:7" ht="19.5" customHeight="1" x14ac:dyDescent="0.35">
      <c r="A93" s="14" t="s">
        <v>432</v>
      </c>
      <c r="B93" s="14"/>
      <c r="C93" s="14"/>
      <c r="D93" s="14"/>
      <c r="E93" s="14"/>
      <c r="F93" s="14"/>
      <c r="G93" s="14"/>
    </row>
    <row r="94" spans="1:7" x14ac:dyDescent="0.35">
      <c r="A94" s="7">
        <v>14</v>
      </c>
      <c r="B94" s="2" t="s">
        <v>433</v>
      </c>
      <c r="C94" s="7">
        <v>21</v>
      </c>
      <c r="D94" s="2" t="s">
        <v>85</v>
      </c>
      <c r="E94" s="3" t="s">
        <v>9</v>
      </c>
      <c r="F94" s="4" t="s">
        <v>86</v>
      </c>
      <c r="G94" s="2"/>
    </row>
    <row r="95" spans="1:7" x14ac:dyDescent="0.35">
      <c r="A95" s="7">
        <v>14</v>
      </c>
      <c r="B95" s="2" t="s">
        <v>433</v>
      </c>
      <c r="C95" s="7">
        <v>23</v>
      </c>
      <c r="D95" s="2" t="s">
        <v>101</v>
      </c>
      <c r="E95" s="6" t="s">
        <v>38</v>
      </c>
      <c r="F95" s="4" t="s">
        <v>102</v>
      </c>
      <c r="G95" s="2"/>
    </row>
    <row r="96" spans="1:7" x14ac:dyDescent="0.35">
      <c r="A96" s="7">
        <v>14</v>
      </c>
      <c r="B96" s="2" t="s">
        <v>433</v>
      </c>
      <c r="C96" s="7">
        <v>24</v>
      </c>
      <c r="D96" s="2" t="s">
        <v>434</v>
      </c>
      <c r="E96" s="5" t="s">
        <v>16</v>
      </c>
      <c r="F96" s="4" t="s">
        <v>435</v>
      </c>
      <c r="G96" s="2"/>
    </row>
    <row r="97" spans="1:7" x14ac:dyDescent="0.35">
      <c r="A97" s="7">
        <v>14</v>
      </c>
      <c r="B97" s="2" t="s">
        <v>433</v>
      </c>
      <c r="C97" s="7">
        <v>25</v>
      </c>
      <c r="D97" s="2" t="s">
        <v>103</v>
      </c>
      <c r="E97" s="6" t="s">
        <v>38</v>
      </c>
      <c r="F97" s="4" t="s">
        <v>104</v>
      </c>
      <c r="G97" s="2"/>
    </row>
    <row r="98" spans="1:7" x14ac:dyDescent="0.35">
      <c r="A98" s="7">
        <v>14</v>
      </c>
      <c r="B98" s="2" t="s">
        <v>433</v>
      </c>
      <c r="C98" s="7">
        <v>92</v>
      </c>
      <c r="D98" s="2" t="s">
        <v>436</v>
      </c>
      <c r="E98" s="5" t="s">
        <v>16</v>
      </c>
      <c r="F98" s="4" t="s">
        <v>437</v>
      </c>
      <c r="G98" s="2"/>
    </row>
    <row r="99" spans="1:7" x14ac:dyDescent="0.35">
      <c r="A99" s="7">
        <v>14</v>
      </c>
      <c r="B99" s="2" t="s">
        <v>433</v>
      </c>
      <c r="C99" s="7">
        <v>138</v>
      </c>
      <c r="D99" s="2" t="s">
        <v>91</v>
      </c>
      <c r="E99" s="5" t="s">
        <v>16</v>
      </c>
      <c r="F99" s="4" t="s">
        <v>92</v>
      </c>
      <c r="G99" s="2"/>
    </row>
    <row r="100" spans="1:7" ht="19.5" customHeight="1" x14ac:dyDescent="0.35">
      <c r="A100" s="14" t="s">
        <v>438</v>
      </c>
      <c r="B100" s="14"/>
      <c r="C100" s="14"/>
      <c r="D100" s="14"/>
      <c r="E100" s="14"/>
      <c r="F100" s="14"/>
      <c r="G100" s="14"/>
    </row>
    <row r="101" spans="1:7" x14ac:dyDescent="0.35">
      <c r="A101" s="7">
        <v>15</v>
      </c>
      <c r="B101" s="2" t="s">
        <v>439</v>
      </c>
      <c r="C101" s="7">
        <v>104</v>
      </c>
      <c r="D101" s="2" t="s">
        <v>108</v>
      </c>
      <c r="E101" s="3" t="s">
        <v>9</v>
      </c>
      <c r="F101" s="4" t="s">
        <v>109</v>
      </c>
      <c r="G101" s="2"/>
    </row>
    <row r="102" spans="1:7" x14ac:dyDescent="0.35">
      <c r="A102" s="7">
        <v>15</v>
      </c>
      <c r="B102" s="2" t="s">
        <v>439</v>
      </c>
      <c r="C102" s="7">
        <v>112</v>
      </c>
      <c r="D102" s="2" t="s">
        <v>440</v>
      </c>
      <c r="E102" s="3" t="s">
        <v>9</v>
      </c>
      <c r="F102" s="4" t="s">
        <v>441</v>
      </c>
      <c r="G102" s="2"/>
    </row>
    <row r="103" spans="1:7" x14ac:dyDescent="0.35">
      <c r="A103" s="7">
        <v>15</v>
      </c>
      <c r="B103" s="2" t="s">
        <v>439</v>
      </c>
      <c r="C103" s="7">
        <v>113</v>
      </c>
      <c r="D103" s="2" t="s">
        <v>442</v>
      </c>
      <c r="E103" s="5" t="s">
        <v>16</v>
      </c>
      <c r="F103" s="4" t="s">
        <v>443</v>
      </c>
      <c r="G103" s="2"/>
    </row>
    <row r="104" spans="1:7" x14ac:dyDescent="0.35">
      <c r="A104" s="7">
        <v>15</v>
      </c>
      <c r="B104" s="2" t="s">
        <v>439</v>
      </c>
      <c r="C104" s="7">
        <v>543</v>
      </c>
      <c r="D104" s="2" t="s">
        <v>110</v>
      </c>
      <c r="E104" s="3" t="s">
        <v>9</v>
      </c>
      <c r="F104" s="4" t="s">
        <v>111</v>
      </c>
      <c r="G104" s="2"/>
    </row>
    <row r="105" spans="1:7" x14ac:dyDescent="0.35">
      <c r="A105" s="7">
        <v>15</v>
      </c>
      <c r="B105" s="2" t="s">
        <v>439</v>
      </c>
      <c r="C105" s="7">
        <v>124</v>
      </c>
      <c r="D105" s="2" t="s">
        <v>132</v>
      </c>
      <c r="E105" s="6" t="s">
        <v>38</v>
      </c>
      <c r="F105" s="4" t="s">
        <v>133</v>
      </c>
      <c r="G105" s="2"/>
    </row>
    <row r="106" spans="1:7" x14ac:dyDescent="0.35">
      <c r="A106" s="7">
        <v>15</v>
      </c>
      <c r="B106" s="2" t="s">
        <v>439</v>
      </c>
      <c r="C106" s="7">
        <v>226</v>
      </c>
      <c r="D106" s="2" t="s">
        <v>106</v>
      </c>
      <c r="E106" s="3" t="s">
        <v>9</v>
      </c>
      <c r="F106" s="4" t="s">
        <v>107</v>
      </c>
      <c r="G106" s="2"/>
    </row>
    <row r="107" spans="1:7" ht="19.5" customHeight="1" x14ac:dyDescent="0.35">
      <c r="A107" s="14" t="s">
        <v>444</v>
      </c>
      <c r="B107" s="14"/>
      <c r="C107" s="14"/>
      <c r="D107" s="14"/>
      <c r="E107" s="14"/>
      <c r="F107" s="14"/>
      <c r="G107" s="14"/>
    </row>
    <row r="108" spans="1:7" x14ac:dyDescent="0.35">
      <c r="A108" s="7">
        <v>16</v>
      </c>
      <c r="B108" s="2" t="s">
        <v>445</v>
      </c>
      <c r="C108" s="7">
        <v>102</v>
      </c>
      <c r="D108" s="2" t="s">
        <v>120</v>
      </c>
      <c r="E108" s="5" t="s">
        <v>16</v>
      </c>
      <c r="F108" s="4" t="s">
        <v>121</v>
      </c>
      <c r="G108" s="2"/>
    </row>
    <row r="109" spans="1:7" x14ac:dyDescent="0.35">
      <c r="A109" s="7">
        <v>16</v>
      </c>
      <c r="B109" s="2" t="s">
        <v>445</v>
      </c>
      <c r="C109" s="7">
        <v>103</v>
      </c>
      <c r="D109" s="2" t="s">
        <v>446</v>
      </c>
      <c r="E109" s="5" t="s">
        <v>16</v>
      </c>
      <c r="F109" s="4" t="s">
        <v>447</v>
      </c>
      <c r="G109" s="2"/>
    </row>
    <row r="110" spans="1:7" x14ac:dyDescent="0.35">
      <c r="A110" s="7">
        <v>16</v>
      </c>
      <c r="B110" s="2" t="s">
        <v>445</v>
      </c>
      <c r="C110" s="7">
        <v>199</v>
      </c>
      <c r="D110" s="2" t="s">
        <v>122</v>
      </c>
      <c r="E110" s="5" t="s">
        <v>16</v>
      </c>
      <c r="F110" s="4" t="s">
        <v>123</v>
      </c>
      <c r="G110" s="2"/>
    </row>
    <row r="111" spans="1:7" x14ac:dyDescent="0.35">
      <c r="A111" s="7">
        <v>16</v>
      </c>
      <c r="B111" s="2" t="s">
        <v>445</v>
      </c>
      <c r="C111" s="7">
        <v>515</v>
      </c>
      <c r="D111" s="2" t="s">
        <v>448</v>
      </c>
      <c r="E111" s="5" t="s">
        <v>16</v>
      </c>
      <c r="F111" s="4" t="s">
        <v>449</v>
      </c>
      <c r="G111" s="2"/>
    </row>
    <row r="112" spans="1:7" x14ac:dyDescent="0.35">
      <c r="A112" s="7">
        <v>16</v>
      </c>
      <c r="B112" s="2" t="s">
        <v>445</v>
      </c>
      <c r="C112" s="7">
        <v>637</v>
      </c>
      <c r="D112" s="2" t="s">
        <v>450</v>
      </c>
      <c r="E112" s="3" t="s">
        <v>9</v>
      </c>
      <c r="F112" s="4" t="s">
        <v>451</v>
      </c>
      <c r="G112" s="2"/>
    </row>
    <row r="113" spans="1:7" x14ac:dyDescent="0.35">
      <c r="A113" s="7">
        <v>16</v>
      </c>
      <c r="B113" s="2" t="s">
        <v>445</v>
      </c>
      <c r="C113" s="7">
        <v>116</v>
      </c>
      <c r="D113" s="2" t="s">
        <v>452</v>
      </c>
      <c r="E113" s="5" t="s">
        <v>16</v>
      </c>
      <c r="F113" s="4" t="s">
        <v>453</v>
      </c>
      <c r="G113" s="2"/>
    </row>
    <row r="114" spans="1:7" ht="19.5" customHeight="1" x14ac:dyDescent="0.35">
      <c r="A114" s="14" t="s">
        <v>454</v>
      </c>
      <c r="B114" s="14"/>
      <c r="C114" s="14"/>
      <c r="D114" s="14"/>
      <c r="E114" s="14"/>
      <c r="F114" s="14"/>
      <c r="G114" s="14"/>
    </row>
    <row r="115" spans="1:7" x14ac:dyDescent="0.35">
      <c r="A115" s="7">
        <v>17</v>
      </c>
      <c r="B115" s="2" t="s">
        <v>455</v>
      </c>
      <c r="C115" s="7">
        <v>98</v>
      </c>
      <c r="D115" s="2" t="s">
        <v>126</v>
      </c>
      <c r="E115" s="5" t="s">
        <v>16</v>
      </c>
      <c r="F115" s="4" t="s">
        <v>127</v>
      </c>
      <c r="G115" s="2"/>
    </row>
    <row r="116" spans="1:7" x14ac:dyDescent="0.35">
      <c r="A116" s="7">
        <v>17</v>
      </c>
      <c r="B116" s="2" t="s">
        <v>455</v>
      </c>
      <c r="C116" s="7">
        <v>99</v>
      </c>
      <c r="D116" s="2" t="s">
        <v>456</v>
      </c>
      <c r="E116" s="5" t="s">
        <v>16</v>
      </c>
      <c r="F116" s="4" t="s">
        <v>457</v>
      </c>
      <c r="G116" s="2"/>
    </row>
    <row r="117" spans="1:7" x14ac:dyDescent="0.35">
      <c r="A117" s="7">
        <v>17</v>
      </c>
      <c r="B117" s="2" t="s">
        <v>455</v>
      </c>
      <c r="C117" s="7">
        <v>230</v>
      </c>
      <c r="D117" s="2" t="s">
        <v>128</v>
      </c>
      <c r="E117" s="5" t="s">
        <v>16</v>
      </c>
      <c r="F117" s="4" t="s">
        <v>129</v>
      </c>
      <c r="G117" s="2"/>
    </row>
    <row r="118" spans="1:7" x14ac:dyDescent="0.35">
      <c r="A118" s="7">
        <v>17</v>
      </c>
      <c r="B118" s="2" t="s">
        <v>455</v>
      </c>
      <c r="C118" s="7">
        <v>235</v>
      </c>
      <c r="D118" s="2" t="s">
        <v>458</v>
      </c>
      <c r="E118" s="5" t="s">
        <v>16</v>
      </c>
      <c r="F118" s="4" t="s">
        <v>119</v>
      </c>
      <c r="G118" s="2"/>
    </row>
    <row r="119" spans="1:7" x14ac:dyDescent="0.35">
      <c r="A119" s="7">
        <v>17</v>
      </c>
      <c r="B119" s="2" t="s">
        <v>455</v>
      </c>
      <c r="C119" s="7">
        <v>450</v>
      </c>
      <c r="D119" s="2" t="s">
        <v>459</v>
      </c>
      <c r="E119" s="5" t="s">
        <v>16</v>
      </c>
      <c r="F119" s="4" t="s">
        <v>460</v>
      </c>
      <c r="G119" s="2"/>
    </row>
    <row r="120" spans="1:7" x14ac:dyDescent="0.35">
      <c r="A120" s="7">
        <v>17</v>
      </c>
      <c r="B120" s="2" t="s">
        <v>455</v>
      </c>
      <c r="C120" s="7">
        <v>700</v>
      </c>
      <c r="D120" s="2" t="s">
        <v>461</v>
      </c>
      <c r="E120" s="3" t="s">
        <v>9</v>
      </c>
      <c r="F120" s="4" t="s">
        <v>462</v>
      </c>
      <c r="G120" s="2"/>
    </row>
    <row r="121" spans="1:7" ht="19.5" customHeight="1" x14ac:dyDescent="0.35">
      <c r="A121" s="14" t="s">
        <v>463</v>
      </c>
      <c r="B121" s="14"/>
      <c r="C121" s="14"/>
      <c r="D121" s="14"/>
      <c r="E121" s="14"/>
      <c r="F121" s="14"/>
      <c r="G121" s="14"/>
    </row>
    <row r="122" spans="1:7" x14ac:dyDescent="0.35">
      <c r="A122" s="7">
        <v>18</v>
      </c>
      <c r="B122" s="2" t="s">
        <v>464</v>
      </c>
      <c r="C122" s="7">
        <v>46</v>
      </c>
      <c r="D122" s="2" t="s">
        <v>163</v>
      </c>
      <c r="E122" s="5" t="s">
        <v>16</v>
      </c>
      <c r="F122" s="4" t="s">
        <v>164</v>
      </c>
      <c r="G122" s="2"/>
    </row>
    <row r="123" spans="1:7" x14ac:dyDescent="0.35">
      <c r="A123" s="7">
        <v>18</v>
      </c>
      <c r="B123" s="2" t="s">
        <v>464</v>
      </c>
      <c r="C123" s="7">
        <v>47</v>
      </c>
      <c r="D123" s="2" t="s">
        <v>465</v>
      </c>
      <c r="E123" s="5" t="s">
        <v>16</v>
      </c>
      <c r="F123" s="4" t="s">
        <v>466</v>
      </c>
      <c r="G123" s="2"/>
    </row>
    <row r="124" spans="1:7" x14ac:dyDescent="0.35">
      <c r="A124" s="7">
        <v>18</v>
      </c>
      <c r="B124" s="2" t="s">
        <v>464</v>
      </c>
      <c r="C124" s="7">
        <v>77</v>
      </c>
      <c r="D124" s="2" t="s">
        <v>467</v>
      </c>
      <c r="E124" s="5" t="s">
        <v>16</v>
      </c>
      <c r="F124" s="4" t="s">
        <v>468</v>
      </c>
      <c r="G124" s="2"/>
    </row>
    <row r="125" spans="1:7" x14ac:dyDescent="0.35">
      <c r="A125" s="7">
        <v>18</v>
      </c>
      <c r="B125" s="2" t="s">
        <v>464</v>
      </c>
      <c r="C125" s="7">
        <v>78</v>
      </c>
      <c r="D125" s="2" t="s">
        <v>159</v>
      </c>
      <c r="E125" s="5" t="s">
        <v>16</v>
      </c>
      <c r="F125" s="4" t="s">
        <v>160</v>
      </c>
      <c r="G125" s="2"/>
    </row>
    <row r="126" spans="1:7" x14ac:dyDescent="0.35">
      <c r="A126" s="7">
        <v>18</v>
      </c>
      <c r="B126" s="2" t="s">
        <v>464</v>
      </c>
      <c r="C126" s="7">
        <v>90</v>
      </c>
      <c r="D126" s="2" t="s">
        <v>165</v>
      </c>
      <c r="E126" s="5" t="s">
        <v>16</v>
      </c>
      <c r="F126" s="4" t="s">
        <v>166</v>
      </c>
      <c r="G126" s="2"/>
    </row>
    <row r="127" spans="1:7" x14ac:dyDescent="0.35">
      <c r="A127" s="7">
        <v>18</v>
      </c>
      <c r="B127" s="2" t="s">
        <v>464</v>
      </c>
      <c r="C127" s="7">
        <v>39</v>
      </c>
      <c r="D127" s="2" t="s">
        <v>161</v>
      </c>
      <c r="E127" s="5" t="s">
        <v>16</v>
      </c>
      <c r="F127" s="4" t="s">
        <v>162</v>
      </c>
      <c r="G127" s="2"/>
    </row>
    <row r="128" spans="1:7" ht="19.5" customHeight="1" x14ac:dyDescent="0.35">
      <c r="A128" s="14" t="s">
        <v>469</v>
      </c>
      <c r="B128" s="14"/>
      <c r="C128" s="14"/>
      <c r="D128" s="14"/>
      <c r="E128" s="14"/>
      <c r="F128" s="14"/>
      <c r="G128" s="14"/>
    </row>
    <row r="129" spans="1:7" x14ac:dyDescent="0.35">
      <c r="A129" s="7">
        <v>19</v>
      </c>
      <c r="B129" s="2" t="s">
        <v>470</v>
      </c>
      <c r="C129" s="7">
        <v>40</v>
      </c>
      <c r="D129" s="2" t="s">
        <v>167</v>
      </c>
      <c r="E129" s="5" t="s">
        <v>16</v>
      </c>
      <c r="F129" s="4" t="s">
        <v>168</v>
      </c>
      <c r="G129" s="2"/>
    </row>
    <row r="130" spans="1:7" x14ac:dyDescent="0.35">
      <c r="A130" s="7">
        <v>19</v>
      </c>
      <c r="B130" s="2" t="s">
        <v>470</v>
      </c>
      <c r="C130" s="7">
        <v>17</v>
      </c>
      <c r="D130" s="2" t="s">
        <v>173</v>
      </c>
      <c r="E130" s="5" t="s">
        <v>16</v>
      </c>
      <c r="F130" s="4" t="s">
        <v>174</v>
      </c>
      <c r="G130" s="2"/>
    </row>
    <row r="131" spans="1:7" x14ac:dyDescent="0.35">
      <c r="A131" s="7">
        <v>19</v>
      </c>
      <c r="B131" s="2" t="s">
        <v>470</v>
      </c>
      <c r="C131" s="7">
        <v>79</v>
      </c>
      <c r="D131" s="2" t="s">
        <v>169</v>
      </c>
      <c r="E131" s="5" t="s">
        <v>16</v>
      </c>
      <c r="F131" s="4" t="s">
        <v>170</v>
      </c>
      <c r="G131" s="2"/>
    </row>
    <row r="132" spans="1:7" x14ac:dyDescent="0.35">
      <c r="A132" s="7">
        <v>19</v>
      </c>
      <c r="B132" s="2" t="s">
        <v>470</v>
      </c>
      <c r="C132" s="7">
        <v>131</v>
      </c>
      <c r="D132" s="2" t="s">
        <v>171</v>
      </c>
      <c r="E132" s="5" t="s">
        <v>16</v>
      </c>
      <c r="F132" s="4" t="s">
        <v>172</v>
      </c>
      <c r="G132" s="2"/>
    </row>
    <row r="133" spans="1:7" x14ac:dyDescent="0.35">
      <c r="A133" s="7">
        <v>19</v>
      </c>
      <c r="B133" s="2" t="s">
        <v>470</v>
      </c>
      <c r="C133" s="7">
        <v>51</v>
      </c>
      <c r="D133" s="2" t="s">
        <v>175</v>
      </c>
      <c r="E133" s="6" t="s">
        <v>38</v>
      </c>
      <c r="F133" s="4" t="s">
        <v>176</v>
      </c>
      <c r="G133" s="2"/>
    </row>
    <row r="134" spans="1:7" x14ac:dyDescent="0.35">
      <c r="A134" s="7">
        <v>19</v>
      </c>
      <c r="B134" s="2" t="s">
        <v>470</v>
      </c>
      <c r="C134" s="7">
        <v>52</v>
      </c>
      <c r="D134" s="2" t="s">
        <v>471</v>
      </c>
      <c r="E134" s="6" t="s">
        <v>38</v>
      </c>
      <c r="F134" s="4" t="s">
        <v>472</v>
      </c>
      <c r="G134" s="2"/>
    </row>
    <row r="135" spans="1:7" ht="19.5" customHeight="1" x14ac:dyDescent="0.35">
      <c r="A135" s="14" t="s">
        <v>473</v>
      </c>
      <c r="B135" s="14"/>
      <c r="C135" s="14"/>
      <c r="D135" s="14"/>
      <c r="E135" s="14"/>
      <c r="F135" s="14"/>
      <c r="G135" s="14"/>
    </row>
    <row r="136" spans="1:7" x14ac:dyDescent="0.35">
      <c r="A136" s="7">
        <v>20</v>
      </c>
      <c r="B136" s="2" t="s">
        <v>474</v>
      </c>
      <c r="C136" s="7">
        <v>200</v>
      </c>
      <c r="D136" s="2" t="s">
        <v>178</v>
      </c>
      <c r="E136" s="5" t="s">
        <v>16</v>
      </c>
      <c r="F136" s="4" t="s">
        <v>179</v>
      </c>
      <c r="G136" s="2"/>
    </row>
    <row r="137" spans="1:7" x14ac:dyDescent="0.35">
      <c r="A137" s="7">
        <v>20</v>
      </c>
      <c r="B137" s="2" t="s">
        <v>474</v>
      </c>
      <c r="C137" s="7">
        <v>695</v>
      </c>
      <c r="D137" s="2" t="s">
        <v>180</v>
      </c>
      <c r="E137" s="5" t="s">
        <v>16</v>
      </c>
      <c r="F137" s="4" t="s">
        <v>181</v>
      </c>
      <c r="G137" s="2"/>
    </row>
    <row r="138" spans="1:7" x14ac:dyDescent="0.35">
      <c r="A138" s="7">
        <v>20</v>
      </c>
      <c r="B138" s="2" t="s">
        <v>474</v>
      </c>
      <c r="C138" s="7">
        <v>733</v>
      </c>
      <c r="D138" s="2" t="s">
        <v>475</v>
      </c>
      <c r="E138" s="3" t="s">
        <v>9</v>
      </c>
      <c r="F138" s="4" t="s">
        <v>476</v>
      </c>
      <c r="G138" s="2"/>
    </row>
    <row r="139" spans="1:7" x14ac:dyDescent="0.35">
      <c r="A139" s="7">
        <v>20</v>
      </c>
      <c r="B139" s="2" t="s">
        <v>474</v>
      </c>
      <c r="C139" s="7">
        <v>994</v>
      </c>
      <c r="D139" s="2" t="s">
        <v>186</v>
      </c>
      <c r="E139" s="5" t="s">
        <v>16</v>
      </c>
      <c r="F139" s="4" t="s">
        <v>187</v>
      </c>
      <c r="G139" s="2"/>
    </row>
    <row r="140" spans="1:7" x14ac:dyDescent="0.35">
      <c r="A140" s="7">
        <v>20</v>
      </c>
      <c r="B140" s="2" t="s">
        <v>474</v>
      </c>
      <c r="C140" s="7">
        <v>1091</v>
      </c>
      <c r="D140" s="2" t="s">
        <v>477</v>
      </c>
      <c r="E140" s="5" t="s">
        <v>16</v>
      </c>
      <c r="F140" s="4" t="s">
        <v>478</v>
      </c>
      <c r="G140" s="2"/>
    </row>
    <row r="141" spans="1:7" x14ac:dyDescent="0.35">
      <c r="A141" s="7">
        <v>20</v>
      </c>
      <c r="B141" s="2" t="s">
        <v>474</v>
      </c>
      <c r="C141" s="7">
        <v>1254</v>
      </c>
      <c r="D141" s="2" t="s">
        <v>479</v>
      </c>
      <c r="E141" s="5" t="s">
        <v>16</v>
      </c>
      <c r="F141" s="4" t="s">
        <v>480</v>
      </c>
      <c r="G141" s="2"/>
    </row>
    <row r="142" spans="1:7" ht="19.5" customHeight="1" x14ac:dyDescent="0.35">
      <c r="A142" s="14" t="s">
        <v>481</v>
      </c>
      <c r="B142" s="14"/>
      <c r="C142" s="14"/>
      <c r="D142" s="14"/>
      <c r="E142" s="14"/>
      <c r="F142" s="14"/>
      <c r="G142" s="14"/>
    </row>
    <row r="143" spans="1:7" x14ac:dyDescent="0.35">
      <c r="A143" s="7">
        <v>21</v>
      </c>
      <c r="B143" s="2" t="s">
        <v>482</v>
      </c>
      <c r="C143" s="7">
        <v>207</v>
      </c>
      <c r="D143" s="2" t="s">
        <v>192</v>
      </c>
      <c r="E143" s="5" t="s">
        <v>16</v>
      </c>
      <c r="F143" s="4" t="s">
        <v>193</v>
      </c>
      <c r="G143" s="2"/>
    </row>
    <row r="144" spans="1:7" x14ac:dyDescent="0.35">
      <c r="A144" s="7">
        <v>21</v>
      </c>
      <c r="B144" s="2" t="s">
        <v>482</v>
      </c>
      <c r="C144" s="7">
        <v>210</v>
      </c>
      <c r="D144" s="2" t="s">
        <v>194</v>
      </c>
      <c r="E144" s="5" t="s">
        <v>16</v>
      </c>
      <c r="F144" s="4" t="s">
        <v>195</v>
      </c>
      <c r="G144" s="2"/>
    </row>
    <row r="145" spans="1:7" x14ac:dyDescent="0.35">
      <c r="A145" s="7">
        <v>21</v>
      </c>
      <c r="B145" s="2" t="s">
        <v>482</v>
      </c>
      <c r="C145" s="7">
        <v>802</v>
      </c>
      <c r="D145" s="2" t="s">
        <v>483</v>
      </c>
      <c r="E145" s="5" t="s">
        <v>16</v>
      </c>
      <c r="F145" s="4" t="s">
        <v>484</v>
      </c>
      <c r="G145" s="2"/>
    </row>
    <row r="146" spans="1:7" x14ac:dyDescent="0.35">
      <c r="A146" s="7">
        <v>21</v>
      </c>
      <c r="B146" s="2" t="s">
        <v>482</v>
      </c>
      <c r="C146" s="7">
        <v>1462</v>
      </c>
      <c r="D146" s="2" t="s">
        <v>485</v>
      </c>
      <c r="E146" s="5" t="s">
        <v>16</v>
      </c>
      <c r="F146" s="4" t="s">
        <v>486</v>
      </c>
      <c r="G146" s="2"/>
    </row>
    <row r="147" spans="1:7" x14ac:dyDescent="0.35">
      <c r="A147" s="7">
        <v>21</v>
      </c>
      <c r="B147" s="2" t="s">
        <v>482</v>
      </c>
      <c r="C147" s="7">
        <v>1203</v>
      </c>
      <c r="D147" s="2" t="s">
        <v>487</v>
      </c>
      <c r="E147" s="6" t="s">
        <v>38</v>
      </c>
      <c r="F147" s="4" t="s">
        <v>488</v>
      </c>
      <c r="G147" s="2"/>
    </row>
    <row r="148" spans="1:7" x14ac:dyDescent="0.35">
      <c r="A148" s="7">
        <v>21</v>
      </c>
      <c r="B148" s="2" t="s">
        <v>482</v>
      </c>
      <c r="C148" s="7">
        <v>2115</v>
      </c>
      <c r="D148" s="2" t="s">
        <v>489</v>
      </c>
      <c r="E148" s="5" t="s">
        <v>16</v>
      </c>
      <c r="F148" s="4" t="s">
        <v>490</v>
      </c>
      <c r="G148" s="2"/>
    </row>
    <row r="149" spans="1:7" ht="19.5" customHeight="1" x14ac:dyDescent="0.35">
      <c r="A149" s="14" t="s">
        <v>491</v>
      </c>
      <c r="B149" s="14"/>
      <c r="C149" s="14"/>
      <c r="D149" s="14"/>
      <c r="E149" s="14"/>
      <c r="F149" s="14"/>
      <c r="G149" s="14"/>
    </row>
    <row r="150" spans="1:7" x14ac:dyDescent="0.35">
      <c r="A150" s="7">
        <v>22</v>
      </c>
      <c r="B150" s="2" t="s">
        <v>492</v>
      </c>
      <c r="C150" s="7">
        <v>547</v>
      </c>
      <c r="D150" s="2" t="s">
        <v>493</v>
      </c>
      <c r="E150" s="5" t="s">
        <v>16</v>
      </c>
      <c r="F150" s="4" t="s">
        <v>494</v>
      </c>
      <c r="G150" s="2"/>
    </row>
    <row r="151" spans="1:7" x14ac:dyDescent="0.35">
      <c r="A151" s="7">
        <v>22</v>
      </c>
      <c r="B151" s="2" t="s">
        <v>492</v>
      </c>
      <c r="C151" s="7">
        <v>684</v>
      </c>
      <c r="D151" s="2" t="s">
        <v>200</v>
      </c>
      <c r="E151" s="5" t="s">
        <v>16</v>
      </c>
      <c r="F151" s="4" t="s">
        <v>201</v>
      </c>
      <c r="G151" s="2"/>
    </row>
    <row r="152" spans="1:7" x14ac:dyDescent="0.35">
      <c r="A152" s="7">
        <v>22</v>
      </c>
      <c r="B152" s="2" t="s">
        <v>492</v>
      </c>
      <c r="C152" s="7">
        <v>1319</v>
      </c>
      <c r="D152" s="2" t="s">
        <v>495</v>
      </c>
      <c r="E152" s="5" t="s">
        <v>16</v>
      </c>
      <c r="F152" s="4" t="s">
        <v>496</v>
      </c>
      <c r="G152" s="2"/>
    </row>
    <row r="153" spans="1:7" x14ac:dyDescent="0.35">
      <c r="A153" s="7">
        <v>22</v>
      </c>
      <c r="B153" s="2" t="s">
        <v>492</v>
      </c>
      <c r="C153" s="7">
        <v>1579</v>
      </c>
      <c r="D153" s="2" t="s">
        <v>497</v>
      </c>
      <c r="E153" s="6" t="s">
        <v>38</v>
      </c>
      <c r="F153" s="4" t="s">
        <v>498</v>
      </c>
      <c r="G153" s="2"/>
    </row>
    <row r="154" spans="1:7" x14ac:dyDescent="0.35">
      <c r="A154" s="7">
        <v>22</v>
      </c>
      <c r="B154" s="2" t="s">
        <v>492</v>
      </c>
      <c r="C154" s="7">
        <v>990</v>
      </c>
      <c r="D154" s="2" t="s">
        <v>499</v>
      </c>
      <c r="E154" s="5" t="s">
        <v>16</v>
      </c>
      <c r="F154" s="4" t="s">
        <v>500</v>
      </c>
      <c r="G154" s="2"/>
    </row>
    <row r="155" spans="1:7" x14ac:dyDescent="0.35">
      <c r="A155" s="7">
        <v>22</v>
      </c>
      <c r="B155" s="2" t="s">
        <v>492</v>
      </c>
      <c r="C155" s="7">
        <v>1202</v>
      </c>
      <c r="D155" s="2" t="s">
        <v>501</v>
      </c>
      <c r="E155" s="5" t="s">
        <v>16</v>
      </c>
      <c r="F155" s="4" t="s">
        <v>502</v>
      </c>
      <c r="G155" s="2"/>
    </row>
    <row r="156" spans="1:7" ht="19.5" customHeight="1" x14ac:dyDescent="0.35">
      <c r="A156" s="14" t="s">
        <v>503</v>
      </c>
      <c r="B156" s="14"/>
      <c r="C156" s="14"/>
      <c r="D156" s="14"/>
      <c r="E156" s="14"/>
      <c r="F156" s="14"/>
      <c r="G156" s="14"/>
    </row>
    <row r="157" spans="1:7" x14ac:dyDescent="0.35">
      <c r="A157" s="7">
        <v>23</v>
      </c>
      <c r="B157" s="2" t="s">
        <v>504</v>
      </c>
      <c r="C157" s="7">
        <v>743</v>
      </c>
      <c r="D157" s="2" t="s">
        <v>209</v>
      </c>
      <c r="E157" s="5" t="s">
        <v>16</v>
      </c>
      <c r="F157" s="4" t="s">
        <v>210</v>
      </c>
      <c r="G157" s="2"/>
    </row>
    <row r="158" spans="1:7" x14ac:dyDescent="0.35">
      <c r="A158" s="7">
        <v>23</v>
      </c>
      <c r="B158" s="2" t="s">
        <v>504</v>
      </c>
      <c r="C158" s="7">
        <v>787</v>
      </c>
      <c r="D158" s="2" t="s">
        <v>215</v>
      </c>
      <c r="E158" s="5" t="s">
        <v>16</v>
      </c>
      <c r="F158" s="4" t="s">
        <v>216</v>
      </c>
      <c r="G158" s="2"/>
    </row>
    <row r="159" spans="1:7" x14ac:dyDescent="0.35">
      <c r="A159" s="7">
        <v>23</v>
      </c>
      <c r="B159" s="2" t="s">
        <v>504</v>
      </c>
      <c r="C159" s="7">
        <v>1514</v>
      </c>
      <c r="D159" s="2" t="s">
        <v>505</v>
      </c>
      <c r="E159" s="5" t="s">
        <v>16</v>
      </c>
      <c r="F159" s="4" t="s">
        <v>506</v>
      </c>
      <c r="G159" s="2"/>
    </row>
    <row r="160" spans="1:7" x14ac:dyDescent="0.35">
      <c r="A160" s="7">
        <v>23</v>
      </c>
      <c r="B160" s="2" t="s">
        <v>504</v>
      </c>
      <c r="C160" s="7">
        <v>1631</v>
      </c>
      <c r="D160" s="2" t="s">
        <v>507</v>
      </c>
      <c r="E160" s="5" t="s">
        <v>16</v>
      </c>
      <c r="F160" s="4" t="s">
        <v>508</v>
      </c>
      <c r="G160" s="2"/>
    </row>
    <row r="161" spans="1:7" x14ac:dyDescent="0.35">
      <c r="A161" s="7">
        <v>23</v>
      </c>
      <c r="B161" s="2" t="s">
        <v>504</v>
      </c>
      <c r="C161" s="7">
        <v>1334</v>
      </c>
      <c r="D161" s="2" t="s">
        <v>509</v>
      </c>
      <c r="E161" s="5" t="s">
        <v>16</v>
      </c>
      <c r="F161" s="4" t="s">
        <v>510</v>
      </c>
      <c r="G161" s="2"/>
    </row>
    <row r="162" spans="1:7" x14ac:dyDescent="0.35">
      <c r="A162" s="7">
        <v>23</v>
      </c>
      <c r="B162" s="2" t="s">
        <v>504</v>
      </c>
      <c r="C162" s="7">
        <v>1976</v>
      </c>
      <c r="D162" s="2" t="s">
        <v>511</v>
      </c>
      <c r="E162" s="5" t="s">
        <v>16</v>
      </c>
      <c r="F162" s="4" t="s">
        <v>512</v>
      </c>
      <c r="G162" s="2"/>
    </row>
    <row r="163" spans="1:7" ht="19.5" customHeight="1" x14ac:dyDescent="0.35">
      <c r="A163" s="14" t="s">
        <v>513</v>
      </c>
      <c r="B163" s="14"/>
      <c r="C163" s="14"/>
      <c r="D163" s="14"/>
      <c r="E163" s="14"/>
      <c r="F163" s="14"/>
      <c r="G163" s="14"/>
    </row>
    <row r="164" spans="1:7" x14ac:dyDescent="0.35">
      <c r="A164" s="7">
        <v>24</v>
      </c>
      <c r="B164" s="2" t="s">
        <v>514</v>
      </c>
      <c r="C164" s="7">
        <v>1584</v>
      </c>
      <c r="D164" s="2" t="s">
        <v>207</v>
      </c>
      <c r="E164" s="5" t="s">
        <v>16</v>
      </c>
      <c r="F164" s="4" t="s">
        <v>208</v>
      </c>
      <c r="G164" s="2"/>
    </row>
    <row r="165" spans="1:7" x14ac:dyDescent="0.35">
      <c r="A165" s="7">
        <v>24</v>
      </c>
      <c r="B165" s="2" t="s">
        <v>514</v>
      </c>
      <c r="C165" s="7">
        <v>1135</v>
      </c>
      <c r="D165" s="2" t="s">
        <v>515</v>
      </c>
      <c r="E165" s="5" t="s">
        <v>16</v>
      </c>
      <c r="F165" s="4" t="s">
        <v>516</v>
      </c>
      <c r="G165" s="2"/>
    </row>
    <row r="166" spans="1:7" x14ac:dyDescent="0.35">
      <c r="A166" s="7">
        <v>24</v>
      </c>
      <c r="B166" s="2" t="s">
        <v>514</v>
      </c>
      <c r="C166" s="7">
        <v>1168</v>
      </c>
      <c r="D166" s="2" t="s">
        <v>517</v>
      </c>
      <c r="E166" s="6" t="s">
        <v>38</v>
      </c>
      <c r="F166" s="4" t="s">
        <v>518</v>
      </c>
      <c r="G166" s="2"/>
    </row>
    <row r="167" spans="1:7" x14ac:dyDescent="0.35">
      <c r="A167" s="7">
        <v>24</v>
      </c>
      <c r="B167" s="2" t="s">
        <v>514</v>
      </c>
      <c r="C167" s="7">
        <v>1489</v>
      </c>
      <c r="D167" s="2" t="s">
        <v>519</v>
      </c>
      <c r="E167" s="6" t="s">
        <v>38</v>
      </c>
      <c r="F167" s="4" t="s">
        <v>520</v>
      </c>
      <c r="G167" s="2"/>
    </row>
    <row r="168" spans="1:7" x14ac:dyDescent="0.35">
      <c r="A168" s="7">
        <v>24</v>
      </c>
      <c r="B168" s="2" t="s">
        <v>514</v>
      </c>
      <c r="C168" s="7">
        <v>778</v>
      </c>
      <c r="D168" s="2" t="s">
        <v>211</v>
      </c>
      <c r="E168" s="6" t="s">
        <v>38</v>
      </c>
      <c r="F168" s="4" t="s">
        <v>212</v>
      </c>
      <c r="G168" s="2"/>
    </row>
    <row r="169" spans="1:7" x14ac:dyDescent="0.35">
      <c r="A169" s="7">
        <v>24</v>
      </c>
      <c r="B169" s="2" t="s">
        <v>514</v>
      </c>
      <c r="C169" s="7">
        <v>1102</v>
      </c>
      <c r="D169" s="2" t="s">
        <v>521</v>
      </c>
      <c r="E169" s="5" t="s">
        <v>16</v>
      </c>
      <c r="F169" s="4" t="s">
        <v>522</v>
      </c>
      <c r="G169" s="2"/>
    </row>
    <row r="170" spans="1:7" ht="19.5" customHeight="1" x14ac:dyDescent="0.35">
      <c r="A170" s="14" t="s">
        <v>523</v>
      </c>
      <c r="B170" s="14"/>
      <c r="C170" s="14"/>
      <c r="D170" s="14"/>
      <c r="E170" s="14"/>
      <c r="F170" s="14"/>
      <c r="G170" s="14"/>
    </row>
    <row r="171" spans="1:7" x14ac:dyDescent="0.35">
      <c r="A171" s="7">
        <v>25</v>
      </c>
      <c r="B171" s="2" t="s">
        <v>524</v>
      </c>
      <c r="C171" s="7">
        <v>208</v>
      </c>
      <c r="D171" s="2" t="s">
        <v>137</v>
      </c>
      <c r="E171" s="5" t="s">
        <v>16</v>
      </c>
      <c r="F171" s="4" t="s">
        <v>138</v>
      </c>
      <c r="G171" s="2"/>
    </row>
    <row r="172" spans="1:7" x14ac:dyDescent="0.35">
      <c r="A172" s="7">
        <v>25</v>
      </c>
      <c r="B172" s="2" t="s">
        <v>524</v>
      </c>
      <c r="C172" s="7">
        <v>211</v>
      </c>
      <c r="D172" s="2" t="s">
        <v>139</v>
      </c>
      <c r="E172" s="5" t="s">
        <v>16</v>
      </c>
      <c r="F172" s="4" t="s">
        <v>140</v>
      </c>
      <c r="G172" s="2"/>
    </row>
    <row r="173" spans="1:7" x14ac:dyDescent="0.35">
      <c r="A173" s="7">
        <v>25</v>
      </c>
      <c r="B173" s="2" t="s">
        <v>524</v>
      </c>
      <c r="C173" s="7">
        <v>212</v>
      </c>
      <c r="D173" s="2" t="s">
        <v>141</v>
      </c>
      <c r="E173" s="6" t="s">
        <v>38</v>
      </c>
      <c r="F173" s="4" t="s">
        <v>142</v>
      </c>
      <c r="G173" s="2"/>
    </row>
    <row r="174" spans="1:7" x14ac:dyDescent="0.35">
      <c r="A174" s="7">
        <v>25</v>
      </c>
      <c r="B174" s="2" t="s">
        <v>524</v>
      </c>
      <c r="C174" s="7">
        <v>648</v>
      </c>
      <c r="D174" s="2" t="s">
        <v>525</v>
      </c>
      <c r="E174" s="5" t="s">
        <v>16</v>
      </c>
      <c r="F174" s="4" t="s">
        <v>526</v>
      </c>
      <c r="G174" s="2"/>
    </row>
    <row r="175" spans="1:7" x14ac:dyDescent="0.35">
      <c r="A175" s="7">
        <v>25</v>
      </c>
      <c r="B175" s="2" t="s">
        <v>524</v>
      </c>
      <c r="C175" s="7">
        <v>677</v>
      </c>
      <c r="D175" s="2" t="s">
        <v>527</v>
      </c>
      <c r="E175" s="5" t="s">
        <v>16</v>
      </c>
      <c r="F175" s="4" t="s">
        <v>528</v>
      </c>
      <c r="G175" s="2"/>
    </row>
    <row r="176" spans="1:7" x14ac:dyDescent="0.35">
      <c r="A176" s="7">
        <v>25</v>
      </c>
      <c r="B176" s="2" t="s">
        <v>524</v>
      </c>
      <c r="C176" s="7">
        <v>1268</v>
      </c>
      <c r="D176" s="2" t="s">
        <v>529</v>
      </c>
      <c r="E176" s="5" t="s">
        <v>16</v>
      </c>
      <c r="F176" s="4" t="s">
        <v>530</v>
      </c>
      <c r="G176" s="2"/>
    </row>
    <row r="177" spans="1:7" ht="19.5" customHeight="1" x14ac:dyDescent="0.35">
      <c r="A177" s="14" t="s">
        <v>531</v>
      </c>
      <c r="B177" s="14"/>
      <c r="C177" s="14"/>
      <c r="D177" s="14"/>
      <c r="E177" s="14"/>
      <c r="F177" s="14"/>
      <c r="G177" s="14"/>
    </row>
    <row r="178" spans="1:7" x14ac:dyDescent="0.35">
      <c r="A178" s="7">
        <v>26</v>
      </c>
      <c r="B178" s="2" t="s">
        <v>312</v>
      </c>
      <c r="C178" s="7">
        <v>136</v>
      </c>
      <c r="D178" s="2" t="s">
        <v>313</v>
      </c>
      <c r="E178" s="3" t="s">
        <v>9</v>
      </c>
      <c r="F178" s="4" t="s">
        <v>314</v>
      </c>
      <c r="G178" s="2"/>
    </row>
    <row r="179" spans="1:7" x14ac:dyDescent="0.35">
      <c r="A179" s="7">
        <v>26</v>
      </c>
      <c r="B179" s="2" t="s">
        <v>312</v>
      </c>
      <c r="C179" s="7">
        <v>137</v>
      </c>
      <c r="D179" s="2" t="s">
        <v>532</v>
      </c>
      <c r="E179" s="5" t="s">
        <v>16</v>
      </c>
      <c r="F179" s="4" t="s">
        <v>533</v>
      </c>
      <c r="G179" s="2"/>
    </row>
    <row r="180" spans="1:7" x14ac:dyDescent="0.35">
      <c r="A180" s="7">
        <v>26</v>
      </c>
      <c r="B180" s="2" t="s">
        <v>312</v>
      </c>
      <c r="C180" s="7">
        <v>191</v>
      </c>
      <c r="D180" s="2" t="s">
        <v>315</v>
      </c>
      <c r="E180" s="3" t="s">
        <v>9</v>
      </c>
      <c r="F180" s="4" t="s">
        <v>316</v>
      </c>
      <c r="G180" s="2"/>
    </row>
    <row r="181" spans="1:7" x14ac:dyDescent="0.35">
      <c r="A181" s="7">
        <v>26</v>
      </c>
      <c r="B181" s="2" t="s">
        <v>312</v>
      </c>
      <c r="C181" s="7">
        <v>338</v>
      </c>
      <c r="D181" s="2" t="s">
        <v>317</v>
      </c>
      <c r="E181" s="3" t="s">
        <v>9</v>
      </c>
      <c r="F181" s="4" t="s">
        <v>318</v>
      </c>
      <c r="G181" s="2"/>
    </row>
    <row r="182" spans="1:7" x14ac:dyDescent="0.35">
      <c r="A182" s="7">
        <v>26</v>
      </c>
      <c r="B182" s="2" t="s">
        <v>312</v>
      </c>
      <c r="C182" s="7">
        <v>268</v>
      </c>
      <c r="D182" s="2" t="s">
        <v>321</v>
      </c>
      <c r="E182" s="3" t="s">
        <v>9</v>
      </c>
      <c r="F182" s="4" t="s">
        <v>322</v>
      </c>
      <c r="G182" s="2"/>
    </row>
    <row r="183" spans="1:7" x14ac:dyDescent="0.35">
      <c r="A183" s="7">
        <v>26</v>
      </c>
      <c r="B183" s="2" t="s">
        <v>312</v>
      </c>
      <c r="C183" s="7">
        <v>190</v>
      </c>
      <c r="D183" s="2" t="s">
        <v>319</v>
      </c>
      <c r="E183" s="3" t="s">
        <v>9</v>
      </c>
      <c r="F183" s="4" t="s">
        <v>320</v>
      </c>
      <c r="G183" s="2"/>
    </row>
    <row r="184" spans="1:7" ht="19.5" customHeight="1" x14ac:dyDescent="0.35">
      <c r="A184" s="14" t="s">
        <v>534</v>
      </c>
      <c r="B184" s="14"/>
      <c r="C184" s="14"/>
      <c r="D184" s="14"/>
      <c r="E184" s="14"/>
      <c r="F184" s="14"/>
      <c r="G184" s="14"/>
    </row>
    <row r="185" spans="1:7" x14ac:dyDescent="0.35">
      <c r="A185" s="7">
        <v>27</v>
      </c>
      <c r="B185" s="2" t="s">
        <v>535</v>
      </c>
      <c r="C185" s="7">
        <v>70</v>
      </c>
      <c r="D185" s="2" t="s">
        <v>218</v>
      </c>
      <c r="E185" s="3" t="s">
        <v>9</v>
      </c>
      <c r="F185" s="4" t="s">
        <v>219</v>
      </c>
      <c r="G185" s="2"/>
    </row>
    <row r="186" spans="1:7" x14ac:dyDescent="0.35">
      <c r="A186" s="7">
        <v>27</v>
      </c>
      <c r="B186" s="2" t="s">
        <v>535</v>
      </c>
      <c r="C186" s="7">
        <v>198</v>
      </c>
      <c r="D186" s="2" t="s">
        <v>222</v>
      </c>
      <c r="E186" s="5" t="s">
        <v>16</v>
      </c>
      <c r="F186" s="4" t="s">
        <v>223</v>
      </c>
      <c r="G186" s="2"/>
    </row>
    <row r="187" spans="1:7" x14ac:dyDescent="0.35">
      <c r="A187" s="7">
        <v>27</v>
      </c>
      <c r="B187" s="2" t="s">
        <v>535</v>
      </c>
      <c r="C187" s="7">
        <v>213</v>
      </c>
      <c r="D187" s="2" t="s">
        <v>224</v>
      </c>
      <c r="E187" s="5" t="s">
        <v>16</v>
      </c>
      <c r="F187" s="4" t="s">
        <v>225</v>
      </c>
      <c r="G187" s="2"/>
    </row>
    <row r="188" spans="1:7" x14ac:dyDescent="0.35">
      <c r="A188" s="7">
        <v>27</v>
      </c>
      <c r="B188" s="2" t="s">
        <v>535</v>
      </c>
      <c r="C188" s="7">
        <v>322</v>
      </c>
      <c r="D188" s="2" t="s">
        <v>232</v>
      </c>
      <c r="E188" s="5" t="s">
        <v>16</v>
      </c>
      <c r="F188" s="4" t="s">
        <v>233</v>
      </c>
      <c r="G188" s="2"/>
    </row>
    <row r="189" spans="1:7" x14ac:dyDescent="0.35">
      <c r="A189" s="7">
        <v>27</v>
      </c>
      <c r="B189" s="2" t="s">
        <v>535</v>
      </c>
      <c r="C189" s="7">
        <v>279</v>
      </c>
      <c r="D189" s="2" t="s">
        <v>536</v>
      </c>
      <c r="E189" s="5" t="s">
        <v>16</v>
      </c>
      <c r="F189" s="4" t="s">
        <v>537</v>
      </c>
      <c r="G189" s="2"/>
    </row>
    <row r="190" spans="1:7" x14ac:dyDescent="0.35">
      <c r="A190" s="7">
        <v>27</v>
      </c>
      <c r="B190" s="2" t="s">
        <v>535</v>
      </c>
      <c r="C190" s="7">
        <v>300</v>
      </c>
      <c r="D190" s="2" t="s">
        <v>238</v>
      </c>
      <c r="E190" s="5" t="s">
        <v>16</v>
      </c>
      <c r="F190" s="4" t="s">
        <v>239</v>
      </c>
      <c r="G190" s="2"/>
    </row>
    <row r="191" spans="1:7" ht="19.5" customHeight="1" x14ac:dyDescent="0.35">
      <c r="A191" s="14" t="s">
        <v>538</v>
      </c>
      <c r="B191" s="14"/>
      <c r="C191" s="14"/>
      <c r="D191" s="14"/>
      <c r="E191" s="14"/>
      <c r="F191" s="14"/>
      <c r="G191" s="14"/>
    </row>
    <row r="192" spans="1:7" x14ac:dyDescent="0.35">
      <c r="A192" s="7">
        <v>28</v>
      </c>
      <c r="B192" s="2" t="s">
        <v>539</v>
      </c>
      <c r="C192" s="7">
        <v>416</v>
      </c>
      <c r="D192" s="2" t="s">
        <v>240</v>
      </c>
      <c r="E192" s="5" t="s">
        <v>16</v>
      </c>
      <c r="F192" s="4" t="s">
        <v>241</v>
      </c>
      <c r="G192" s="2"/>
    </row>
    <row r="193" spans="1:7" x14ac:dyDescent="0.35">
      <c r="A193" s="7">
        <v>28</v>
      </c>
      <c r="B193" s="2" t="s">
        <v>539</v>
      </c>
      <c r="C193" s="7">
        <v>494</v>
      </c>
      <c r="D193" s="2" t="s">
        <v>251</v>
      </c>
      <c r="E193" s="5" t="s">
        <v>16</v>
      </c>
      <c r="F193" s="4" t="s">
        <v>252</v>
      </c>
      <c r="G193" s="2"/>
    </row>
    <row r="194" spans="1:7" x14ac:dyDescent="0.35">
      <c r="A194" s="7">
        <v>28</v>
      </c>
      <c r="B194" s="2" t="s">
        <v>539</v>
      </c>
      <c r="C194" s="7">
        <v>518</v>
      </c>
      <c r="D194" s="2" t="s">
        <v>249</v>
      </c>
      <c r="E194" s="5" t="s">
        <v>16</v>
      </c>
      <c r="F194" s="4" t="s">
        <v>250</v>
      </c>
      <c r="G194" s="2"/>
    </row>
    <row r="195" spans="1:7" x14ac:dyDescent="0.35">
      <c r="A195" s="7">
        <v>28</v>
      </c>
      <c r="B195" s="2" t="s">
        <v>539</v>
      </c>
      <c r="C195" s="7">
        <v>474</v>
      </c>
      <c r="D195" s="2" t="s">
        <v>540</v>
      </c>
      <c r="E195" s="5" t="s">
        <v>16</v>
      </c>
      <c r="F195" s="4" t="s">
        <v>541</v>
      </c>
      <c r="G195" s="2"/>
    </row>
    <row r="196" spans="1:7" x14ac:dyDescent="0.35">
      <c r="A196" s="7">
        <v>28</v>
      </c>
      <c r="B196" s="2" t="s">
        <v>539</v>
      </c>
      <c r="C196" s="7">
        <v>1049</v>
      </c>
      <c r="D196" s="2" t="s">
        <v>542</v>
      </c>
      <c r="E196" s="5" t="s">
        <v>16</v>
      </c>
      <c r="F196" s="4" t="s">
        <v>543</v>
      </c>
      <c r="G196" s="2"/>
    </row>
    <row r="197" spans="1:7" x14ac:dyDescent="0.35">
      <c r="A197" s="7">
        <v>28</v>
      </c>
      <c r="B197" s="2" t="s">
        <v>539</v>
      </c>
      <c r="C197" s="7">
        <v>879</v>
      </c>
      <c r="D197" s="2" t="s">
        <v>544</v>
      </c>
      <c r="E197" s="6" t="s">
        <v>38</v>
      </c>
      <c r="F197" s="4" t="s">
        <v>545</v>
      </c>
      <c r="G197" s="2"/>
    </row>
    <row r="198" spans="1:7" ht="19.5" customHeight="1" x14ac:dyDescent="0.35">
      <c r="A198" s="14" t="s">
        <v>546</v>
      </c>
      <c r="B198" s="14"/>
      <c r="C198" s="14"/>
      <c r="D198" s="14"/>
      <c r="E198" s="14"/>
      <c r="F198" s="14"/>
      <c r="G198" s="14"/>
    </row>
    <row r="199" spans="1:7" x14ac:dyDescent="0.35">
      <c r="A199" s="7">
        <v>29</v>
      </c>
      <c r="B199" s="2" t="s">
        <v>547</v>
      </c>
      <c r="C199" s="7">
        <v>62</v>
      </c>
      <c r="D199" s="2" t="s">
        <v>243</v>
      </c>
      <c r="E199" s="5" t="s">
        <v>16</v>
      </c>
      <c r="F199" s="4" t="s">
        <v>244</v>
      </c>
      <c r="G199" s="2"/>
    </row>
    <row r="200" spans="1:7" x14ac:dyDescent="0.35">
      <c r="A200" s="7">
        <v>29</v>
      </c>
      <c r="B200" s="2" t="s">
        <v>547</v>
      </c>
      <c r="C200" s="7">
        <v>63</v>
      </c>
      <c r="D200" s="2" t="s">
        <v>548</v>
      </c>
      <c r="E200" s="5" t="s">
        <v>16</v>
      </c>
      <c r="F200" s="4" t="s">
        <v>549</v>
      </c>
      <c r="G200" s="2"/>
    </row>
    <row r="201" spans="1:7" x14ac:dyDescent="0.35">
      <c r="A201" s="7">
        <v>29</v>
      </c>
      <c r="B201" s="2" t="s">
        <v>547</v>
      </c>
      <c r="C201" s="7">
        <v>64</v>
      </c>
      <c r="D201" s="2" t="s">
        <v>550</v>
      </c>
      <c r="E201" s="5" t="s">
        <v>16</v>
      </c>
      <c r="F201" s="4" t="s">
        <v>551</v>
      </c>
      <c r="G201" s="2"/>
    </row>
    <row r="202" spans="1:7" x14ac:dyDescent="0.35">
      <c r="A202" s="7">
        <v>29</v>
      </c>
      <c r="B202" s="2" t="s">
        <v>547</v>
      </c>
      <c r="C202" s="7">
        <v>221</v>
      </c>
      <c r="D202" s="2" t="s">
        <v>552</v>
      </c>
      <c r="E202" s="5" t="s">
        <v>16</v>
      </c>
      <c r="F202" s="4" t="s">
        <v>553</v>
      </c>
      <c r="G202" s="2"/>
    </row>
    <row r="203" spans="1:7" x14ac:dyDescent="0.35">
      <c r="A203" s="7">
        <v>29</v>
      </c>
      <c r="B203" s="2" t="s">
        <v>547</v>
      </c>
      <c r="C203" s="7">
        <v>931</v>
      </c>
      <c r="D203" s="2" t="s">
        <v>554</v>
      </c>
      <c r="E203" s="5" t="s">
        <v>16</v>
      </c>
      <c r="F203" s="4" t="s">
        <v>555</v>
      </c>
      <c r="G203" s="2"/>
    </row>
    <row r="204" spans="1:7" x14ac:dyDescent="0.35">
      <c r="A204" s="7">
        <v>29</v>
      </c>
      <c r="B204" s="2" t="s">
        <v>547</v>
      </c>
      <c r="C204" s="7">
        <v>120</v>
      </c>
      <c r="D204" s="2" t="s">
        <v>556</v>
      </c>
      <c r="E204" s="5" t="s">
        <v>16</v>
      </c>
      <c r="F204" s="4" t="s">
        <v>557</v>
      </c>
      <c r="G204" s="2"/>
    </row>
    <row r="205" spans="1:7" ht="19.5" customHeight="1" x14ac:dyDescent="0.35">
      <c r="A205" s="14" t="s">
        <v>558</v>
      </c>
      <c r="B205" s="14"/>
      <c r="C205" s="14"/>
      <c r="D205" s="14"/>
      <c r="E205" s="14"/>
      <c r="F205" s="14"/>
      <c r="G205" s="14"/>
    </row>
    <row r="206" spans="1:7" x14ac:dyDescent="0.35">
      <c r="A206" s="7">
        <v>30</v>
      </c>
      <c r="B206" s="2" t="s">
        <v>559</v>
      </c>
      <c r="C206" s="7">
        <v>1143</v>
      </c>
      <c r="D206" s="2" t="s">
        <v>245</v>
      </c>
      <c r="E206" s="5" t="s">
        <v>16</v>
      </c>
      <c r="F206" s="4" t="s">
        <v>246</v>
      </c>
      <c r="G206" s="2"/>
    </row>
    <row r="207" spans="1:7" x14ac:dyDescent="0.35">
      <c r="A207" s="7">
        <v>30</v>
      </c>
      <c r="B207" s="2" t="s">
        <v>559</v>
      </c>
      <c r="C207" s="7">
        <v>72</v>
      </c>
      <c r="D207" s="2" t="s">
        <v>259</v>
      </c>
      <c r="E207" s="5" t="s">
        <v>16</v>
      </c>
      <c r="F207" s="4" t="s">
        <v>260</v>
      </c>
      <c r="G207" s="2"/>
    </row>
    <row r="208" spans="1:7" x14ac:dyDescent="0.35">
      <c r="A208" s="7">
        <v>30</v>
      </c>
      <c r="B208" s="2" t="s">
        <v>559</v>
      </c>
      <c r="C208" s="7">
        <v>115</v>
      </c>
      <c r="D208" s="2" t="s">
        <v>257</v>
      </c>
      <c r="E208" s="6" t="s">
        <v>38</v>
      </c>
      <c r="F208" s="4" t="s">
        <v>258</v>
      </c>
      <c r="G208" s="2"/>
    </row>
    <row r="209" spans="1:7" x14ac:dyDescent="0.35">
      <c r="A209" s="7">
        <v>30</v>
      </c>
      <c r="B209" s="2" t="s">
        <v>559</v>
      </c>
      <c r="C209" s="7">
        <v>583</v>
      </c>
      <c r="D209" s="2" t="s">
        <v>560</v>
      </c>
      <c r="E209" s="5" t="s">
        <v>16</v>
      </c>
      <c r="F209" s="4" t="s">
        <v>561</v>
      </c>
      <c r="G209" s="2"/>
    </row>
    <row r="210" spans="1:7" x14ac:dyDescent="0.35">
      <c r="A210" s="7">
        <v>30</v>
      </c>
      <c r="B210" s="2" t="s">
        <v>559</v>
      </c>
      <c r="C210" s="7">
        <v>97</v>
      </c>
      <c r="D210" s="2" t="s">
        <v>253</v>
      </c>
      <c r="E210" s="5" t="s">
        <v>16</v>
      </c>
      <c r="F210" s="4" t="s">
        <v>254</v>
      </c>
      <c r="G210" s="2"/>
    </row>
    <row r="211" spans="1:7" x14ac:dyDescent="0.35">
      <c r="A211" s="7">
        <v>30</v>
      </c>
      <c r="B211" s="2" t="s">
        <v>559</v>
      </c>
      <c r="C211" s="7">
        <v>1312</v>
      </c>
      <c r="D211" s="2" t="s">
        <v>562</v>
      </c>
      <c r="E211" s="6" t="s">
        <v>38</v>
      </c>
      <c r="F211" s="4" t="s">
        <v>563</v>
      </c>
      <c r="G211" s="2"/>
    </row>
  </sheetData>
  <mergeCells count="30">
    <mergeCell ref="A2:G2"/>
    <mergeCell ref="A9:G9"/>
    <mergeCell ref="A16:G16"/>
    <mergeCell ref="A23:G23"/>
    <mergeCell ref="A30:G30"/>
    <mergeCell ref="A37:G37"/>
    <mergeCell ref="A44:G44"/>
    <mergeCell ref="A51:G51"/>
    <mergeCell ref="A58:G58"/>
    <mergeCell ref="A65:G65"/>
    <mergeCell ref="A72:G72"/>
    <mergeCell ref="A79:G79"/>
    <mergeCell ref="A86:G86"/>
    <mergeCell ref="A93:G93"/>
    <mergeCell ref="A100:G100"/>
    <mergeCell ref="A107:G107"/>
    <mergeCell ref="A114:G114"/>
    <mergeCell ref="A121:G121"/>
    <mergeCell ref="A128:G128"/>
    <mergeCell ref="A135:G135"/>
    <mergeCell ref="A142:G142"/>
    <mergeCell ref="A149:G149"/>
    <mergeCell ref="A156:G156"/>
    <mergeCell ref="A163:G163"/>
    <mergeCell ref="A170:G170"/>
    <mergeCell ref="A177:G177"/>
    <mergeCell ref="A184:G184"/>
    <mergeCell ref="A191:G191"/>
    <mergeCell ref="A198:G198"/>
    <mergeCell ref="A205:G205"/>
  </mergeCells>
  <hyperlinks>
    <hyperlink ref="F3" r:id="rId1" xr:uid="{00000000-0004-0000-0100-000000000000}"/>
    <hyperlink ref="F4" r:id="rId2" xr:uid="{00000000-0004-0000-0100-000001000000}"/>
    <hyperlink ref="F5" r:id="rId3" xr:uid="{00000000-0004-0000-0100-000002000000}"/>
    <hyperlink ref="F6" r:id="rId4" xr:uid="{00000000-0004-0000-0100-000003000000}"/>
    <hyperlink ref="F7" r:id="rId5" xr:uid="{00000000-0004-0000-0100-000004000000}"/>
    <hyperlink ref="F8" r:id="rId6" xr:uid="{00000000-0004-0000-0100-000005000000}"/>
    <hyperlink ref="F10" r:id="rId7" xr:uid="{00000000-0004-0000-0100-000006000000}"/>
    <hyperlink ref="F11" r:id="rId8" xr:uid="{00000000-0004-0000-0100-000007000000}"/>
    <hyperlink ref="F12" r:id="rId9" xr:uid="{00000000-0004-0000-0100-000008000000}"/>
    <hyperlink ref="F13" r:id="rId10" xr:uid="{00000000-0004-0000-0100-000009000000}"/>
    <hyperlink ref="F14" r:id="rId11" xr:uid="{00000000-0004-0000-0100-00000A000000}"/>
    <hyperlink ref="F15" r:id="rId12" xr:uid="{00000000-0004-0000-0100-00000B000000}"/>
    <hyperlink ref="F17" r:id="rId13" xr:uid="{00000000-0004-0000-0100-00000C000000}"/>
    <hyperlink ref="F18" r:id="rId14" xr:uid="{00000000-0004-0000-0100-00000D000000}"/>
    <hyperlink ref="F19" r:id="rId15" xr:uid="{00000000-0004-0000-0100-00000E000000}"/>
    <hyperlink ref="F20" r:id="rId16" xr:uid="{00000000-0004-0000-0100-00000F000000}"/>
    <hyperlink ref="F21" r:id="rId17" xr:uid="{00000000-0004-0000-0100-000010000000}"/>
    <hyperlink ref="F22" r:id="rId18" xr:uid="{00000000-0004-0000-0100-000011000000}"/>
    <hyperlink ref="F24" r:id="rId19" xr:uid="{00000000-0004-0000-0100-000012000000}"/>
    <hyperlink ref="F25" r:id="rId20" xr:uid="{00000000-0004-0000-0100-000013000000}"/>
    <hyperlink ref="F26" r:id="rId21" xr:uid="{00000000-0004-0000-0100-000014000000}"/>
    <hyperlink ref="F27" r:id="rId22" xr:uid="{00000000-0004-0000-0100-000015000000}"/>
    <hyperlink ref="F28" r:id="rId23" xr:uid="{00000000-0004-0000-0100-000016000000}"/>
    <hyperlink ref="F29" r:id="rId24" xr:uid="{00000000-0004-0000-0100-000017000000}"/>
    <hyperlink ref="F31" r:id="rId25" xr:uid="{00000000-0004-0000-0100-000018000000}"/>
    <hyperlink ref="F32" r:id="rId26" xr:uid="{00000000-0004-0000-0100-000019000000}"/>
    <hyperlink ref="F33" r:id="rId27" xr:uid="{00000000-0004-0000-0100-00001A000000}"/>
    <hyperlink ref="F34" r:id="rId28" xr:uid="{00000000-0004-0000-0100-00001B000000}"/>
    <hyperlink ref="F35" r:id="rId29" xr:uid="{00000000-0004-0000-0100-00001C000000}"/>
    <hyperlink ref="F36" r:id="rId30" xr:uid="{00000000-0004-0000-0100-00001D000000}"/>
    <hyperlink ref="F38" r:id="rId31" xr:uid="{00000000-0004-0000-0100-00001E000000}"/>
    <hyperlink ref="F39" r:id="rId32" xr:uid="{00000000-0004-0000-0100-00001F000000}"/>
    <hyperlink ref="F40" r:id="rId33" xr:uid="{00000000-0004-0000-0100-000020000000}"/>
    <hyperlink ref="F41" r:id="rId34" xr:uid="{00000000-0004-0000-0100-000021000000}"/>
    <hyperlink ref="F42" r:id="rId35" xr:uid="{00000000-0004-0000-0100-000022000000}"/>
    <hyperlink ref="F43" r:id="rId36" xr:uid="{00000000-0004-0000-0100-000023000000}"/>
    <hyperlink ref="F45" r:id="rId37" xr:uid="{00000000-0004-0000-0100-000024000000}"/>
    <hyperlink ref="F46" r:id="rId38" xr:uid="{00000000-0004-0000-0100-000025000000}"/>
    <hyperlink ref="F47" r:id="rId39" xr:uid="{00000000-0004-0000-0100-000026000000}"/>
    <hyperlink ref="F48" r:id="rId40" xr:uid="{00000000-0004-0000-0100-000027000000}"/>
    <hyperlink ref="F49" r:id="rId41" xr:uid="{00000000-0004-0000-0100-000028000000}"/>
    <hyperlink ref="F50" r:id="rId42" xr:uid="{00000000-0004-0000-0100-000029000000}"/>
    <hyperlink ref="F52" r:id="rId43" xr:uid="{00000000-0004-0000-0100-00002A000000}"/>
    <hyperlink ref="F53" r:id="rId44" xr:uid="{00000000-0004-0000-0100-00002B000000}"/>
    <hyperlink ref="F54" r:id="rId45" xr:uid="{00000000-0004-0000-0100-00002C000000}"/>
    <hyperlink ref="F55" r:id="rId46" xr:uid="{00000000-0004-0000-0100-00002D000000}"/>
    <hyperlink ref="F56" r:id="rId47" xr:uid="{00000000-0004-0000-0100-00002E000000}"/>
    <hyperlink ref="F57" r:id="rId48" xr:uid="{00000000-0004-0000-0100-00002F000000}"/>
    <hyperlink ref="F59" r:id="rId49" xr:uid="{00000000-0004-0000-0100-000030000000}"/>
    <hyperlink ref="F60" r:id="rId50" xr:uid="{00000000-0004-0000-0100-000031000000}"/>
    <hyperlink ref="F61" r:id="rId51" xr:uid="{00000000-0004-0000-0100-000032000000}"/>
    <hyperlink ref="F62" r:id="rId52" xr:uid="{00000000-0004-0000-0100-000033000000}"/>
    <hyperlink ref="F63" r:id="rId53" xr:uid="{00000000-0004-0000-0100-000034000000}"/>
    <hyperlink ref="F64" r:id="rId54" xr:uid="{00000000-0004-0000-0100-000035000000}"/>
    <hyperlink ref="F66" r:id="rId55" xr:uid="{00000000-0004-0000-0100-000036000000}"/>
    <hyperlink ref="F67" r:id="rId56" xr:uid="{00000000-0004-0000-0100-000037000000}"/>
    <hyperlink ref="F68" r:id="rId57" xr:uid="{00000000-0004-0000-0100-000038000000}"/>
    <hyperlink ref="F69" r:id="rId58" xr:uid="{00000000-0004-0000-0100-000039000000}"/>
    <hyperlink ref="F70" r:id="rId59" xr:uid="{00000000-0004-0000-0100-00003A000000}"/>
    <hyperlink ref="F71" r:id="rId60" xr:uid="{00000000-0004-0000-0100-00003B000000}"/>
    <hyperlink ref="F73" r:id="rId61" xr:uid="{00000000-0004-0000-0100-00003C000000}"/>
    <hyperlink ref="F74" r:id="rId62" xr:uid="{00000000-0004-0000-0100-00003D000000}"/>
    <hyperlink ref="F75" r:id="rId63" xr:uid="{00000000-0004-0000-0100-00003E000000}"/>
    <hyperlink ref="F76" r:id="rId64" xr:uid="{00000000-0004-0000-0100-00003F000000}"/>
    <hyperlink ref="F77" r:id="rId65" xr:uid="{00000000-0004-0000-0100-000040000000}"/>
    <hyperlink ref="F78" r:id="rId66" xr:uid="{00000000-0004-0000-0100-000041000000}"/>
    <hyperlink ref="F80" r:id="rId67" xr:uid="{00000000-0004-0000-0100-000042000000}"/>
    <hyperlink ref="F81" r:id="rId68" xr:uid="{00000000-0004-0000-0100-000043000000}"/>
    <hyperlink ref="F82" r:id="rId69" xr:uid="{00000000-0004-0000-0100-000044000000}"/>
    <hyperlink ref="F83" r:id="rId70" xr:uid="{00000000-0004-0000-0100-000045000000}"/>
    <hyperlink ref="F84" r:id="rId71" xr:uid="{00000000-0004-0000-0100-000046000000}"/>
    <hyperlink ref="F85" r:id="rId72" xr:uid="{00000000-0004-0000-0100-000047000000}"/>
    <hyperlink ref="F87" r:id="rId73" xr:uid="{00000000-0004-0000-0100-000048000000}"/>
    <hyperlink ref="F88" r:id="rId74" xr:uid="{00000000-0004-0000-0100-000049000000}"/>
    <hyperlink ref="F89" r:id="rId75" xr:uid="{00000000-0004-0000-0100-00004A000000}"/>
    <hyperlink ref="F90" r:id="rId76" xr:uid="{00000000-0004-0000-0100-00004B000000}"/>
    <hyperlink ref="F91" r:id="rId77" xr:uid="{00000000-0004-0000-0100-00004C000000}"/>
    <hyperlink ref="F92" r:id="rId78" xr:uid="{00000000-0004-0000-0100-00004D000000}"/>
    <hyperlink ref="F94" r:id="rId79" xr:uid="{00000000-0004-0000-0100-00004E000000}"/>
    <hyperlink ref="F95" r:id="rId80" xr:uid="{00000000-0004-0000-0100-00004F000000}"/>
    <hyperlink ref="F96" r:id="rId81" xr:uid="{00000000-0004-0000-0100-000050000000}"/>
    <hyperlink ref="F97" r:id="rId82" xr:uid="{00000000-0004-0000-0100-000051000000}"/>
    <hyperlink ref="F98" r:id="rId83" xr:uid="{00000000-0004-0000-0100-000052000000}"/>
    <hyperlink ref="F99" r:id="rId84" xr:uid="{00000000-0004-0000-0100-000053000000}"/>
    <hyperlink ref="F101" r:id="rId85" xr:uid="{00000000-0004-0000-0100-000054000000}"/>
    <hyperlink ref="F102" r:id="rId86" xr:uid="{00000000-0004-0000-0100-000055000000}"/>
    <hyperlink ref="F103" r:id="rId87" xr:uid="{00000000-0004-0000-0100-000056000000}"/>
    <hyperlink ref="F104" r:id="rId88" xr:uid="{00000000-0004-0000-0100-000057000000}"/>
    <hyperlink ref="F105" r:id="rId89" xr:uid="{00000000-0004-0000-0100-000058000000}"/>
    <hyperlink ref="F106" r:id="rId90" xr:uid="{00000000-0004-0000-0100-000059000000}"/>
    <hyperlink ref="F108" r:id="rId91" xr:uid="{00000000-0004-0000-0100-00005A000000}"/>
    <hyperlink ref="F109" r:id="rId92" xr:uid="{00000000-0004-0000-0100-00005B000000}"/>
    <hyperlink ref="F110" r:id="rId93" xr:uid="{00000000-0004-0000-0100-00005C000000}"/>
    <hyperlink ref="F111" r:id="rId94" xr:uid="{00000000-0004-0000-0100-00005D000000}"/>
    <hyperlink ref="F112" r:id="rId95" xr:uid="{00000000-0004-0000-0100-00005E000000}"/>
    <hyperlink ref="F113" r:id="rId96" xr:uid="{00000000-0004-0000-0100-00005F000000}"/>
    <hyperlink ref="F115" r:id="rId97" xr:uid="{00000000-0004-0000-0100-000060000000}"/>
    <hyperlink ref="F116" r:id="rId98" xr:uid="{00000000-0004-0000-0100-000061000000}"/>
    <hyperlink ref="F117" r:id="rId99" xr:uid="{00000000-0004-0000-0100-000062000000}"/>
    <hyperlink ref="F118" r:id="rId100" xr:uid="{00000000-0004-0000-0100-000063000000}"/>
    <hyperlink ref="F119" r:id="rId101" xr:uid="{00000000-0004-0000-0100-000064000000}"/>
    <hyperlink ref="F120" r:id="rId102" xr:uid="{00000000-0004-0000-0100-000065000000}"/>
    <hyperlink ref="F122" r:id="rId103" xr:uid="{00000000-0004-0000-0100-000066000000}"/>
    <hyperlink ref="F123" r:id="rId104" xr:uid="{00000000-0004-0000-0100-000067000000}"/>
    <hyperlink ref="F124" r:id="rId105" xr:uid="{00000000-0004-0000-0100-000068000000}"/>
    <hyperlink ref="F125" r:id="rId106" xr:uid="{00000000-0004-0000-0100-000069000000}"/>
    <hyperlink ref="F126" r:id="rId107" xr:uid="{00000000-0004-0000-0100-00006A000000}"/>
    <hyperlink ref="F127" r:id="rId108" xr:uid="{00000000-0004-0000-0100-00006B000000}"/>
    <hyperlink ref="F129" r:id="rId109" xr:uid="{00000000-0004-0000-0100-00006C000000}"/>
    <hyperlink ref="F130" r:id="rId110" xr:uid="{00000000-0004-0000-0100-00006D000000}"/>
    <hyperlink ref="F131" r:id="rId111" xr:uid="{00000000-0004-0000-0100-00006E000000}"/>
    <hyperlink ref="F132" r:id="rId112" xr:uid="{00000000-0004-0000-0100-00006F000000}"/>
    <hyperlink ref="F133" r:id="rId113" xr:uid="{00000000-0004-0000-0100-000070000000}"/>
    <hyperlink ref="F134" r:id="rId114" xr:uid="{00000000-0004-0000-0100-000071000000}"/>
    <hyperlink ref="F136" r:id="rId115" xr:uid="{00000000-0004-0000-0100-000072000000}"/>
    <hyperlink ref="F137" r:id="rId116" xr:uid="{00000000-0004-0000-0100-000073000000}"/>
    <hyperlink ref="F138" r:id="rId117" xr:uid="{00000000-0004-0000-0100-000074000000}"/>
    <hyperlink ref="F139" r:id="rId118" xr:uid="{00000000-0004-0000-0100-000075000000}"/>
    <hyperlink ref="F140" r:id="rId119" xr:uid="{00000000-0004-0000-0100-000076000000}"/>
    <hyperlink ref="F141" r:id="rId120" xr:uid="{00000000-0004-0000-0100-000077000000}"/>
    <hyperlink ref="F143" r:id="rId121" xr:uid="{00000000-0004-0000-0100-000078000000}"/>
    <hyperlink ref="F144" r:id="rId122" xr:uid="{00000000-0004-0000-0100-000079000000}"/>
    <hyperlink ref="F145" r:id="rId123" xr:uid="{00000000-0004-0000-0100-00007A000000}"/>
    <hyperlink ref="F146" r:id="rId124" xr:uid="{00000000-0004-0000-0100-00007B000000}"/>
    <hyperlink ref="F147" r:id="rId125" xr:uid="{00000000-0004-0000-0100-00007C000000}"/>
    <hyperlink ref="F148" r:id="rId126" xr:uid="{00000000-0004-0000-0100-00007D000000}"/>
    <hyperlink ref="F150" r:id="rId127" xr:uid="{00000000-0004-0000-0100-00007E000000}"/>
    <hyperlink ref="F151" r:id="rId128" xr:uid="{00000000-0004-0000-0100-00007F000000}"/>
    <hyperlink ref="F152" r:id="rId129" xr:uid="{00000000-0004-0000-0100-000080000000}"/>
    <hyperlink ref="F153" r:id="rId130" xr:uid="{00000000-0004-0000-0100-000081000000}"/>
    <hyperlink ref="F154" r:id="rId131" xr:uid="{00000000-0004-0000-0100-000082000000}"/>
    <hyperlink ref="F155" r:id="rId132" xr:uid="{00000000-0004-0000-0100-000083000000}"/>
    <hyperlink ref="F157" r:id="rId133" xr:uid="{00000000-0004-0000-0100-000084000000}"/>
    <hyperlink ref="F158" r:id="rId134" xr:uid="{00000000-0004-0000-0100-000085000000}"/>
    <hyperlink ref="F159" r:id="rId135" xr:uid="{00000000-0004-0000-0100-000086000000}"/>
    <hyperlink ref="F160" r:id="rId136" xr:uid="{00000000-0004-0000-0100-000087000000}"/>
    <hyperlink ref="F161" r:id="rId137" xr:uid="{00000000-0004-0000-0100-000088000000}"/>
    <hyperlink ref="F162" r:id="rId138" xr:uid="{00000000-0004-0000-0100-000089000000}"/>
    <hyperlink ref="F164" r:id="rId139" xr:uid="{00000000-0004-0000-0100-00008A000000}"/>
    <hyperlink ref="F165" r:id="rId140" xr:uid="{00000000-0004-0000-0100-00008B000000}"/>
    <hyperlink ref="F166" r:id="rId141" xr:uid="{00000000-0004-0000-0100-00008C000000}"/>
    <hyperlink ref="F167" r:id="rId142" xr:uid="{00000000-0004-0000-0100-00008D000000}"/>
    <hyperlink ref="F168" r:id="rId143" xr:uid="{00000000-0004-0000-0100-00008E000000}"/>
    <hyperlink ref="F169" r:id="rId144" xr:uid="{00000000-0004-0000-0100-00008F000000}"/>
    <hyperlink ref="F171" r:id="rId145" xr:uid="{00000000-0004-0000-0100-000090000000}"/>
    <hyperlink ref="F172" r:id="rId146" xr:uid="{00000000-0004-0000-0100-000091000000}"/>
    <hyperlink ref="F173" r:id="rId147" xr:uid="{00000000-0004-0000-0100-000092000000}"/>
    <hyperlink ref="F174" r:id="rId148" xr:uid="{00000000-0004-0000-0100-000093000000}"/>
    <hyperlink ref="F175" r:id="rId149" xr:uid="{00000000-0004-0000-0100-000094000000}"/>
    <hyperlink ref="F176" r:id="rId150" xr:uid="{00000000-0004-0000-0100-000095000000}"/>
    <hyperlink ref="F178" r:id="rId151" xr:uid="{00000000-0004-0000-0100-000096000000}"/>
    <hyperlink ref="F179" r:id="rId152" xr:uid="{00000000-0004-0000-0100-000097000000}"/>
    <hyperlink ref="F180" r:id="rId153" xr:uid="{00000000-0004-0000-0100-000098000000}"/>
    <hyperlink ref="F181" r:id="rId154" xr:uid="{00000000-0004-0000-0100-000099000000}"/>
    <hyperlink ref="F182" r:id="rId155" xr:uid="{00000000-0004-0000-0100-00009A000000}"/>
    <hyperlink ref="F183" r:id="rId156" xr:uid="{00000000-0004-0000-0100-00009B000000}"/>
    <hyperlink ref="F185" r:id="rId157" xr:uid="{00000000-0004-0000-0100-00009C000000}"/>
    <hyperlink ref="F186" r:id="rId158" xr:uid="{00000000-0004-0000-0100-00009D000000}"/>
    <hyperlink ref="F187" r:id="rId159" xr:uid="{00000000-0004-0000-0100-00009E000000}"/>
    <hyperlink ref="F188" r:id="rId160" xr:uid="{00000000-0004-0000-0100-00009F000000}"/>
    <hyperlink ref="F189" r:id="rId161" xr:uid="{00000000-0004-0000-0100-0000A0000000}"/>
    <hyperlink ref="F190" r:id="rId162" xr:uid="{00000000-0004-0000-0100-0000A1000000}"/>
    <hyperlink ref="F192" r:id="rId163" xr:uid="{00000000-0004-0000-0100-0000A2000000}"/>
    <hyperlink ref="F193" r:id="rId164" xr:uid="{00000000-0004-0000-0100-0000A3000000}"/>
    <hyperlink ref="F194" r:id="rId165" xr:uid="{00000000-0004-0000-0100-0000A4000000}"/>
    <hyperlink ref="F195" r:id="rId166" xr:uid="{00000000-0004-0000-0100-0000A5000000}"/>
    <hyperlink ref="F196" r:id="rId167" xr:uid="{00000000-0004-0000-0100-0000A6000000}"/>
    <hyperlink ref="F197" r:id="rId168" xr:uid="{00000000-0004-0000-0100-0000A7000000}"/>
    <hyperlink ref="F199" r:id="rId169" xr:uid="{00000000-0004-0000-0100-0000A8000000}"/>
    <hyperlink ref="F200" r:id="rId170" xr:uid="{00000000-0004-0000-0100-0000A9000000}"/>
    <hyperlink ref="F201" r:id="rId171" xr:uid="{00000000-0004-0000-0100-0000AA000000}"/>
    <hyperlink ref="F202" r:id="rId172" xr:uid="{00000000-0004-0000-0100-0000AB000000}"/>
    <hyperlink ref="F203" r:id="rId173" xr:uid="{00000000-0004-0000-0100-0000AC000000}"/>
    <hyperlink ref="F204" r:id="rId174" xr:uid="{00000000-0004-0000-0100-0000AD000000}"/>
    <hyperlink ref="F206" r:id="rId175" xr:uid="{00000000-0004-0000-0100-0000AE000000}"/>
    <hyperlink ref="F207" r:id="rId176" xr:uid="{00000000-0004-0000-0100-0000AF000000}"/>
    <hyperlink ref="F208" r:id="rId177" xr:uid="{00000000-0004-0000-0100-0000B0000000}"/>
    <hyperlink ref="F209" r:id="rId178" xr:uid="{00000000-0004-0000-0100-0000B1000000}"/>
    <hyperlink ref="F210" r:id="rId179" xr:uid="{00000000-0004-0000-0100-0000B2000000}"/>
    <hyperlink ref="F211" r:id="rId180" xr:uid="{00000000-0004-0000-0100-0000B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6" width="10" customWidth="1"/>
    <col min="7" max="7" width="12" customWidth="1"/>
  </cols>
  <sheetData>
    <row r="1" spans="1:7" ht="17.25" customHeight="1" x14ac:dyDescent="0.4">
      <c r="A1" s="8" t="s">
        <v>564</v>
      </c>
    </row>
    <row r="3" spans="1:7" ht="15" customHeight="1" x14ac:dyDescent="0.35">
      <c r="A3" s="1" t="s">
        <v>1</v>
      </c>
      <c r="B3" s="1" t="s">
        <v>9</v>
      </c>
      <c r="C3" s="1" t="s">
        <v>16</v>
      </c>
      <c r="D3" s="1" t="s">
        <v>38</v>
      </c>
      <c r="E3" s="1" t="s">
        <v>565</v>
      </c>
      <c r="F3" s="1" t="s">
        <v>566</v>
      </c>
      <c r="G3" s="1" t="s">
        <v>567</v>
      </c>
    </row>
    <row r="4" spans="1:7" ht="15" customHeight="1" x14ac:dyDescent="0.35">
      <c r="A4" s="2" t="s">
        <v>7</v>
      </c>
      <c r="B4" s="7">
        <f>COUNTIFS('NeetCode 150'!B2:B151,A4,'NeetCode 150'!D2:D151,"Easy")</f>
        <v>3</v>
      </c>
      <c r="C4" s="7">
        <f>COUNTIFS('NeetCode 150'!B2:B151,A4,'NeetCode 150'!D2:D151,"Medium")</f>
        <v>6</v>
      </c>
      <c r="D4" s="7">
        <f>COUNTIFS('NeetCode 150'!B2:B151,A4,'NeetCode 150'!D2:D151,"Hard")</f>
        <v>0</v>
      </c>
      <c r="E4" s="7">
        <f t="shared" ref="E4:E21" si="0">SUM(B4:D4)</f>
        <v>9</v>
      </c>
      <c r="F4" s="7">
        <f>COUNTIFS('NeetCode 150'!B2:B151,A4,'NeetCode 150'!F2:F151,"Done")</f>
        <v>0</v>
      </c>
      <c r="G4" s="9">
        <f t="shared" ref="G4:G22" si="1">IF(E4=0,0,F4/E4)</f>
        <v>0</v>
      </c>
    </row>
    <row r="5" spans="1:7" ht="15" customHeight="1" x14ac:dyDescent="0.35">
      <c r="A5" s="2" t="s">
        <v>28</v>
      </c>
      <c r="B5" s="7">
        <f>COUNTIFS('NeetCode 150'!B2:B151,A5,'NeetCode 150'!D2:D151,"Easy")</f>
        <v>1</v>
      </c>
      <c r="C5" s="7">
        <f>COUNTIFS('NeetCode 150'!B2:B151,A5,'NeetCode 150'!D2:D151,"Medium")</f>
        <v>3</v>
      </c>
      <c r="D5" s="7">
        <f>COUNTIFS('NeetCode 150'!B2:B151,A5,'NeetCode 150'!D2:D151,"Hard")</f>
        <v>1</v>
      </c>
      <c r="E5" s="7">
        <f t="shared" si="0"/>
        <v>5</v>
      </c>
      <c r="F5" s="7">
        <f>COUNTIFS('NeetCode 150'!B2:B151,A5,'NeetCode 150'!F2:F151,"Done")</f>
        <v>0</v>
      </c>
      <c r="G5" s="9">
        <f t="shared" si="1"/>
        <v>0</v>
      </c>
    </row>
    <row r="6" spans="1:7" ht="15" customHeight="1" x14ac:dyDescent="0.35">
      <c r="A6" s="2" t="s">
        <v>40</v>
      </c>
      <c r="B6" s="7">
        <f>COUNTIFS('NeetCode 150'!B2:B151,A6,'NeetCode 150'!D2:D151,"Easy")</f>
        <v>1</v>
      </c>
      <c r="C6" s="7">
        <f>COUNTIFS('NeetCode 150'!B2:B151,A6,'NeetCode 150'!D2:D151,"Medium")</f>
        <v>3</v>
      </c>
      <c r="D6" s="7">
        <f>COUNTIFS('NeetCode 150'!B2:B151,A6,'NeetCode 150'!D2:D151,"Hard")</f>
        <v>2</v>
      </c>
      <c r="E6" s="7">
        <f t="shared" si="0"/>
        <v>6</v>
      </c>
      <c r="F6" s="7">
        <f>COUNTIFS('NeetCode 150'!B2:B151,A6,'NeetCode 150'!F2:F151,"Done")</f>
        <v>0</v>
      </c>
      <c r="G6" s="9">
        <f t="shared" si="1"/>
        <v>0</v>
      </c>
    </row>
    <row r="7" spans="1:7" ht="15" customHeight="1" x14ac:dyDescent="0.35">
      <c r="A7" s="2" t="s">
        <v>53</v>
      </c>
      <c r="B7" s="7">
        <f>COUNTIFS('NeetCode 150'!B2:B151,A7,'NeetCode 150'!D2:D151,"Easy")</f>
        <v>1</v>
      </c>
      <c r="C7" s="7">
        <f>COUNTIFS('NeetCode 150'!B2:B151,A7,'NeetCode 150'!D2:D151,"Medium")</f>
        <v>5</v>
      </c>
      <c r="D7" s="7">
        <f>COUNTIFS('NeetCode 150'!B2:B151,A7,'NeetCode 150'!D2:D151,"Hard")</f>
        <v>1</v>
      </c>
      <c r="E7" s="7">
        <f t="shared" si="0"/>
        <v>7</v>
      </c>
      <c r="F7" s="7">
        <f>COUNTIFS('NeetCode 150'!B2:B151,A7,'NeetCode 150'!F2:F151,"Done")</f>
        <v>0</v>
      </c>
      <c r="G7" s="9">
        <f t="shared" si="1"/>
        <v>0</v>
      </c>
    </row>
    <row r="8" spans="1:7" ht="15" customHeight="1" x14ac:dyDescent="0.35">
      <c r="A8" s="2" t="s">
        <v>68</v>
      </c>
      <c r="B8" s="7">
        <f>COUNTIFS('NeetCode 150'!B2:B151,A8,'NeetCode 150'!D2:D151,"Easy")</f>
        <v>1</v>
      </c>
      <c r="C8" s="7">
        <f>COUNTIFS('NeetCode 150'!B2:B151,A8,'NeetCode 150'!D2:D151,"Medium")</f>
        <v>5</v>
      </c>
      <c r="D8" s="7">
        <f>COUNTIFS('NeetCode 150'!B2:B151,A8,'NeetCode 150'!D2:D151,"Hard")</f>
        <v>1</v>
      </c>
      <c r="E8" s="7">
        <f t="shared" si="0"/>
        <v>7</v>
      </c>
      <c r="F8" s="7">
        <f>COUNTIFS('NeetCode 150'!B2:B151,A8,'NeetCode 150'!F2:F151,"Done")</f>
        <v>0</v>
      </c>
      <c r="G8" s="9">
        <f t="shared" si="1"/>
        <v>0</v>
      </c>
    </row>
    <row r="9" spans="1:7" ht="15" customHeight="1" x14ac:dyDescent="0.35">
      <c r="A9" s="2" t="s">
        <v>82</v>
      </c>
      <c r="B9" s="7">
        <f>COUNTIFS('NeetCode 150'!B2:B151,A9,'NeetCode 150'!D2:D151,"Easy")</f>
        <v>3</v>
      </c>
      <c r="C9" s="7">
        <f>COUNTIFS('NeetCode 150'!B2:B151,A9,'NeetCode 150'!D2:D151,"Medium")</f>
        <v>6</v>
      </c>
      <c r="D9" s="7">
        <f>COUNTIFS('NeetCode 150'!B2:B151,A9,'NeetCode 150'!D2:D151,"Hard")</f>
        <v>2</v>
      </c>
      <c r="E9" s="7">
        <f t="shared" si="0"/>
        <v>11</v>
      </c>
      <c r="F9" s="7">
        <f>COUNTIFS('NeetCode 150'!B2:B151,A9,'NeetCode 150'!F2:F151,"Done")</f>
        <v>0</v>
      </c>
      <c r="G9" s="9">
        <f t="shared" si="1"/>
        <v>0</v>
      </c>
    </row>
    <row r="10" spans="1:7" ht="15" customHeight="1" x14ac:dyDescent="0.35">
      <c r="A10" s="2" t="s">
        <v>105</v>
      </c>
      <c r="B10" s="7">
        <f>COUNTIFS('NeetCode 150'!B2:B151,A10,'NeetCode 150'!D2:D151,"Easy")</f>
        <v>6</v>
      </c>
      <c r="C10" s="7">
        <f>COUNTIFS('NeetCode 150'!B2:B151,A10,'NeetCode 150'!D2:D151,"Medium")</f>
        <v>7</v>
      </c>
      <c r="D10" s="7">
        <f>COUNTIFS('NeetCode 150'!B2:B151,A10,'NeetCode 150'!D2:D151,"Hard")</f>
        <v>2</v>
      </c>
      <c r="E10" s="7">
        <f t="shared" si="0"/>
        <v>15</v>
      </c>
      <c r="F10" s="7">
        <f>COUNTIFS('NeetCode 150'!B2:B151,A10,'NeetCode 150'!F2:F151,"Done")</f>
        <v>0</v>
      </c>
      <c r="G10" s="9">
        <f t="shared" si="1"/>
        <v>0</v>
      </c>
    </row>
    <row r="11" spans="1:7" ht="15" customHeight="1" x14ac:dyDescent="0.35">
      <c r="A11" s="2" t="s">
        <v>136</v>
      </c>
      <c r="B11" s="7">
        <f>COUNTIFS('NeetCode 150'!B2:B151,A11,'NeetCode 150'!D2:D151,"Easy")</f>
        <v>0</v>
      </c>
      <c r="C11" s="7">
        <f>COUNTIFS('NeetCode 150'!B2:B151,A11,'NeetCode 150'!D2:D151,"Medium")</f>
        <v>2</v>
      </c>
      <c r="D11" s="7">
        <f>COUNTIFS('NeetCode 150'!B2:B151,A11,'NeetCode 150'!D2:D151,"Hard")</f>
        <v>1</v>
      </c>
      <c r="E11" s="7">
        <f t="shared" si="0"/>
        <v>3</v>
      </c>
      <c r="F11" s="7">
        <f>COUNTIFS('NeetCode 150'!B2:B151,A11,'NeetCode 150'!F2:F151,"Done")</f>
        <v>0</v>
      </c>
      <c r="G11" s="9">
        <f t="shared" si="1"/>
        <v>0</v>
      </c>
    </row>
    <row r="12" spans="1:7" ht="15" customHeight="1" x14ac:dyDescent="0.35">
      <c r="A12" s="2" t="s">
        <v>143</v>
      </c>
      <c r="B12" s="7">
        <f>COUNTIFS('NeetCode 150'!B2:B151,A12,'NeetCode 150'!D2:D151,"Easy")</f>
        <v>2</v>
      </c>
      <c r="C12" s="7">
        <f>COUNTIFS('NeetCode 150'!B2:B151,A12,'NeetCode 150'!D2:D151,"Medium")</f>
        <v>4</v>
      </c>
      <c r="D12" s="7">
        <f>COUNTIFS('NeetCode 150'!B2:B151,A12,'NeetCode 150'!D2:D151,"Hard")</f>
        <v>1</v>
      </c>
      <c r="E12" s="7">
        <f t="shared" si="0"/>
        <v>7</v>
      </c>
      <c r="F12" s="7">
        <f>COUNTIFS('NeetCode 150'!B2:B151,A12,'NeetCode 150'!F2:F151,"Done")</f>
        <v>0</v>
      </c>
      <c r="G12" s="9">
        <f t="shared" si="1"/>
        <v>0</v>
      </c>
    </row>
    <row r="13" spans="1:7" ht="15" customHeight="1" x14ac:dyDescent="0.35">
      <c r="A13" s="2" t="s">
        <v>158</v>
      </c>
      <c r="B13" s="7">
        <f>COUNTIFS('NeetCode 150'!B2:B151,A13,'NeetCode 150'!D2:D151,"Easy")</f>
        <v>0</v>
      </c>
      <c r="C13" s="7">
        <f>COUNTIFS('NeetCode 150'!B2:B151,A13,'NeetCode 150'!D2:D151,"Medium")</f>
        <v>8</v>
      </c>
      <c r="D13" s="7">
        <f>COUNTIFS('NeetCode 150'!B2:B151,A13,'NeetCode 150'!D2:D151,"Hard")</f>
        <v>1</v>
      </c>
      <c r="E13" s="7">
        <f t="shared" si="0"/>
        <v>9</v>
      </c>
      <c r="F13" s="7">
        <f>COUNTIFS('NeetCode 150'!B2:B151,A13,'NeetCode 150'!F2:F151,"Done")</f>
        <v>0</v>
      </c>
      <c r="G13" s="9">
        <f t="shared" si="1"/>
        <v>0</v>
      </c>
    </row>
    <row r="14" spans="1:7" ht="15" customHeight="1" x14ac:dyDescent="0.35">
      <c r="A14" s="2" t="s">
        <v>177</v>
      </c>
      <c r="B14" s="7">
        <f>COUNTIFS('NeetCode 150'!B2:B151,A14,'NeetCode 150'!D2:D151,"Easy")</f>
        <v>0</v>
      </c>
      <c r="C14" s="7">
        <f>COUNTIFS('NeetCode 150'!B2:B151,A14,'NeetCode 150'!D2:D151,"Medium")</f>
        <v>12</v>
      </c>
      <c r="D14" s="7">
        <f>COUNTIFS('NeetCode 150'!B2:B151,A14,'NeetCode 150'!D2:D151,"Hard")</f>
        <v>1</v>
      </c>
      <c r="E14" s="7">
        <f t="shared" si="0"/>
        <v>13</v>
      </c>
      <c r="F14" s="7">
        <f>COUNTIFS('NeetCode 150'!B2:B151,A14,'NeetCode 150'!F2:F151,"Done")</f>
        <v>0</v>
      </c>
      <c r="G14" s="9">
        <f t="shared" si="1"/>
        <v>0</v>
      </c>
    </row>
    <row r="15" spans="1:7" ht="15" customHeight="1" x14ac:dyDescent="0.35">
      <c r="A15" s="2" t="s">
        <v>204</v>
      </c>
      <c r="B15" s="7">
        <f>COUNTIFS('NeetCode 150'!B2:B151,A15,'NeetCode 150'!D2:D151,"Easy")</f>
        <v>0</v>
      </c>
      <c r="C15" s="7">
        <f>COUNTIFS('NeetCode 150'!B2:B151,A15,'NeetCode 150'!D2:D151,"Medium")</f>
        <v>3</v>
      </c>
      <c r="D15" s="7">
        <f>COUNTIFS('NeetCode 150'!B2:B151,A15,'NeetCode 150'!D2:D151,"Hard")</f>
        <v>3</v>
      </c>
      <c r="E15" s="7">
        <f t="shared" si="0"/>
        <v>6</v>
      </c>
      <c r="F15" s="7">
        <f>COUNTIFS('NeetCode 150'!B2:B151,A15,'NeetCode 150'!F2:F151,"Done")</f>
        <v>0</v>
      </c>
      <c r="G15" s="9">
        <f t="shared" si="1"/>
        <v>0</v>
      </c>
    </row>
    <row r="16" spans="1:7" ht="15" customHeight="1" x14ac:dyDescent="0.35">
      <c r="A16" s="2" t="s">
        <v>217</v>
      </c>
      <c r="B16" s="7">
        <f>COUNTIFS('NeetCode 150'!B2:B151,A16,'NeetCode 150'!D2:D151,"Easy")</f>
        <v>2</v>
      </c>
      <c r="C16" s="7">
        <f>COUNTIFS('NeetCode 150'!B2:B151,A16,'NeetCode 150'!D2:D151,"Medium")</f>
        <v>10</v>
      </c>
      <c r="D16" s="7">
        <f>COUNTIFS('NeetCode 150'!B2:B151,A16,'NeetCode 150'!D2:D151,"Hard")</f>
        <v>0</v>
      </c>
      <c r="E16" s="7">
        <f t="shared" si="0"/>
        <v>12</v>
      </c>
      <c r="F16" s="7">
        <f>COUNTIFS('NeetCode 150'!B2:B151,A16,'NeetCode 150'!F2:F151,"Done")</f>
        <v>0</v>
      </c>
      <c r="G16" s="9">
        <f t="shared" si="1"/>
        <v>0</v>
      </c>
    </row>
    <row r="17" spans="1:7" ht="15" customHeight="1" x14ac:dyDescent="0.35">
      <c r="A17" s="2" t="s">
        <v>242</v>
      </c>
      <c r="B17" s="7">
        <f>COUNTIFS('NeetCode 150'!B2:B151,A17,'NeetCode 150'!D2:D151,"Easy")</f>
        <v>0</v>
      </c>
      <c r="C17" s="7">
        <f>COUNTIFS('NeetCode 150'!B2:B151,A17,'NeetCode 150'!D2:D151,"Medium")</f>
        <v>7</v>
      </c>
      <c r="D17" s="7">
        <f>COUNTIFS('NeetCode 150'!B2:B151,A17,'NeetCode 150'!D2:D151,"Hard")</f>
        <v>4</v>
      </c>
      <c r="E17" s="7">
        <f t="shared" si="0"/>
        <v>11</v>
      </c>
      <c r="F17" s="7">
        <f>COUNTIFS('NeetCode 150'!B2:B151,A17,'NeetCode 150'!F2:F151,"Done")</f>
        <v>0</v>
      </c>
      <c r="G17" s="9">
        <f t="shared" si="1"/>
        <v>0</v>
      </c>
    </row>
    <row r="18" spans="1:7" ht="15" customHeight="1" x14ac:dyDescent="0.35">
      <c r="A18" s="2" t="s">
        <v>265</v>
      </c>
      <c r="B18" s="7">
        <f>COUNTIFS('NeetCode 150'!B2:B151,A18,'NeetCode 150'!D2:D151,"Easy")</f>
        <v>0</v>
      </c>
      <c r="C18" s="7">
        <f>COUNTIFS('NeetCode 150'!B2:B151,A18,'NeetCode 150'!D2:D151,"Medium")</f>
        <v>8</v>
      </c>
      <c r="D18" s="7">
        <f>COUNTIFS('NeetCode 150'!B2:B151,A18,'NeetCode 150'!D2:D151,"Hard")</f>
        <v>0</v>
      </c>
      <c r="E18" s="7">
        <f t="shared" si="0"/>
        <v>8</v>
      </c>
      <c r="F18" s="7">
        <f>COUNTIFS('NeetCode 150'!B2:B151,A18,'NeetCode 150'!F2:F151,"Done")</f>
        <v>0</v>
      </c>
      <c r="G18" s="9">
        <f t="shared" si="1"/>
        <v>0</v>
      </c>
    </row>
    <row r="19" spans="1:7" ht="15" customHeight="1" x14ac:dyDescent="0.35">
      <c r="A19" s="2" t="s">
        <v>282</v>
      </c>
      <c r="B19" s="7">
        <f>COUNTIFS('NeetCode 150'!B2:B151,A19,'NeetCode 150'!D2:D151,"Easy")</f>
        <v>1</v>
      </c>
      <c r="C19" s="7">
        <f>COUNTIFS('NeetCode 150'!B2:B151,A19,'NeetCode 150'!D2:D151,"Medium")</f>
        <v>4</v>
      </c>
      <c r="D19" s="7">
        <f>COUNTIFS('NeetCode 150'!B2:B151,A19,'NeetCode 150'!D2:D151,"Hard")</f>
        <v>1</v>
      </c>
      <c r="E19" s="7">
        <f t="shared" si="0"/>
        <v>6</v>
      </c>
      <c r="F19" s="7">
        <f>COUNTIFS('NeetCode 150'!B2:B151,A19,'NeetCode 150'!F2:F151,"Done")</f>
        <v>0</v>
      </c>
      <c r="G19" s="9">
        <f t="shared" si="1"/>
        <v>0</v>
      </c>
    </row>
    <row r="20" spans="1:7" ht="15" customHeight="1" x14ac:dyDescent="0.35">
      <c r="A20" s="2" t="s">
        <v>295</v>
      </c>
      <c r="B20" s="7">
        <f>COUNTIFS('NeetCode 150'!B2:B151,A20,'NeetCode 150'!D2:D151,"Easy")</f>
        <v>2</v>
      </c>
      <c r="C20" s="7">
        <f>COUNTIFS('NeetCode 150'!B2:B151,A20,'NeetCode 150'!D2:D151,"Medium")</f>
        <v>6</v>
      </c>
      <c r="D20" s="7">
        <f>COUNTIFS('NeetCode 150'!B2:B151,A20,'NeetCode 150'!D2:D151,"Hard")</f>
        <v>0</v>
      </c>
      <c r="E20" s="7">
        <f t="shared" si="0"/>
        <v>8</v>
      </c>
      <c r="F20" s="7">
        <f>COUNTIFS('NeetCode 150'!B2:B151,A20,'NeetCode 150'!F2:F151,"Done")</f>
        <v>0</v>
      </c>
      <c r="G20" s="9">
        <f t="shared" si="1"/>
        <v>0</v>
      </c>
    </row>
    <row r="21" spans="1:7" ht="15" customHeight="1" x14ac:dyDescent="0.35">
      <c r="A21" s="2" t="s">
        <v>312</v>
      </c>
      <c r="B21" s="7">
        <f>COUNTIFS('NeetCode 150'!B2:B151,A21,'NeetCode 150'!D2:D151,"Easy")</f>
        <v>5</v>
      </c>
      <c r="C21" s="7">
        <f>COUNTIFS('NeetCode 150'!B2:B151,A21,'NeetCode 150'!D2:D151,"Medium")</f>
        <v>2</v>
      </c>
      <c r="D21" s="7">
        <f>COUNTIFS('NeetCode 150'!B2:B151,A21,'NeetCode 150'!D2:D151,"Hard")</f>
        <v>0</v>
      </c>
      <c r="E21" s="7">
        <f t="shared" si="0"/>
        <v>7</v>
      </c>
      <c r="F21" s="7">
        <f>COUNTIFS('NeetCode 150'!B2:B151,A21,'NeetCode 150'!F2:F151,"Done")</f>
        <v>0</v>
      </c>
      <c r="G21" s="9">
        <f t="shared" si="1"/>
        <v>0</v>
      </c>
    </row>
    <row r="22" spans="1:7" ht="15" customHeight="1" x14ac:dyDescent="0.35">
      <c r="A22" s="10" t="s">
        <v>568</v>
      </c>
      <c r="B22" s="11">
        <f>SUM(B4:B21)</f>
        <v>28</v>
      </c>
      <c r="C22" s="11">
        <f>SUM(C4:C21)</f>
        <v>101</v>
      </c>
      <c r="D22" s="11">
        <f>SUM(D4:D21)</f>
        <v>21</v>
      </c>
      <c r="E22" s="11">
        <f>SUM(E4:E21)</f>
        <v>150</v>
      </c>
      <c r="F22" s="11">
        <f>SUM(F4:F21)</f>
        <v>0</v>
      </c>
      <c r="G22" s="12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NeetCode 150</vt:lpstr>
      <vt:lpstr>Patterns (30 Topics)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Lodha</cp:lastModifiedBy>
  <cp:revision>0</cp:revision>
  <dcterms:created xsi:type="dcterms:W3CDTF">2026-06-27T09:18:21Z</dcterms:created>
  <dcterms:modified xsi:type="dcterms:W3CDTF">2026-07-10T12:42:13Z</dcterms:modified>
  <dc:language>en-US</dc:language>
</cp:coreProperties>
</file>